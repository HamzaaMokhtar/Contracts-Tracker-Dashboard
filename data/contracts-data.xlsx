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Amal\Downloads\"/>
    </mc:Choice>
  </mc:AlternateContent>
  <xr:revisionPtr revIDLastSave="0" documentId="8_{5323FC8F-AF1A-4741-894E-2F2204CEC832}" xr6:coauthVersionLast="47" xr6:coauthVersionMax="47" xr10:uidLastSave="{00000000-0000-0000-0000-000000000000}"/>
  <bookViews>
    <workbookView xWindow="28680" yWindow="-120" windowWidth="29040" windowHeight="15720" tabRatio="730" xr2:uid="{FBFB38BC-83EF-4088-BAD8-C2A3F856F9EC}"/>
  </bookViews>
  <sheets>
    <sheet name="01_CONTRACT_TRACKER" sheetId="2" r:id="rId1"/>
    <sheet name="02_VO TO CLIENT_" sheetId="7" r:id="rId2"/>
    <sheet name="02.01_VO TO SUBCON" sheetId="8" r:id="rId3"/>
    <sheet name="03_SCA TRACKER" sheetId="4" r:id="rId4"/>
    <sheet name="Milestone Mapping" sheetId="9" r:id="rId5"/>
  </sheets>
  <externalReferences>
    <externalReference r:id="rId6"/>
    <externalReference r:id="rId7"/>
    <externalReference r:id="rId8"/>
  </externalReferences>
  <definedNames>
    <definedName name="_xlnm._FilterDatabase" localSheetId="0" hidden="1">'01_CONTRACT_TRACKER'!$A$1:$R$226</definedName>
    <definedName name="_xlnm._FilterDatabase" localSheetId="2" hidden="1">'02.01_VO TO SUBCON'!$A$1:$N$22</definedName>
    <definedName name="_xlnm._FilterDatabase" localSheetId="1" hidden="1">'02_VO TO CLIENT_'!$A$1:$P$443</definedName>
    <definedName name="_xlnm._FilterDatabase" localSheetId="3" hidden="1">'03_SCA TRACKER'!$A$1:$Q$16</definedName>
    <definedName name="notifications">OFFSET([1]Help.!$C$1,1,0,MATCH(REPT("z",255),[1]Help.!$C:$C),1)</definedName>
    <definedName name="_xlnm.Print_Area" localSheetId="2">'02.01_VO TO SUBCON'!#REF!</definedName>
    <definedName name="_xlnm.Print_Area" localSheetId="1">'02_VO TO CLIENT_'!#REF!</definedName>
    <definedName name="priorities">OFFSET([1]Help.!$A$1,1,0,MATCH(REPT("z",255),[1]Help.!$A:$A),1)</definedName>
    <definedName name="Priority">'[2]Business Process Flowchart'!#REF!</definedName>
    <definedName name="Status">'[2]Business Process Flowchart'!#REF!</definedName>
    <definedName name="Type">'[3]Towing Invoice'!#REF!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21" i="7" l="1"/>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S8" i="2"/>
  <c r="S2" i="2"/>
  <c r="S3" i="2"/>
  <c r="Q2" i="7"/>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O25" i="8"/>
  <c r="O26" i="8"/>
  <c r="O27" i="8"/>
  <c r="O24" i="8"/>
  <c r="S229" i="2"/>
  <c r="O2" i="8"/>
  <c r="O3" i="8"/>
  <c r="O4" i="8"/>
  <c r="O5" i="8"/>
  <c r="O6" i="8"/>
  <c r="O7" i="8"/>
  <c r="O8" i="8"/>
  <c r="O9" i="8"/>
  <c r="O10" i="8"/>
  <c r="O11" i="8"/>
  <c r="O12" i="8"/>
  <c r="O13" i="8"/>
  <c r="O14" i="8"/>
  <c r="O15" i="8"/>
  <c r="O16" i="8"/>
  <c r="O17" i="8"/>
  <c r="O18" i="8"/>
  <c r="O19" i="8"/>
  <c r="O20" i="8"/>
  <c r="O21" i="8"/>
  <c r="O22" i="8"/>
  <c r="O23" i="8"/>
  <c r="R450" i="4"/>
  <c r="R449" i="4"/>
  <c r="R448" i="4"/>
  <c r="R447" i="4"/>
  <c r="R446" i="4"/>
  <c r="R445" i="4"/>
  <c r="R249" i="4"/>
  <c r="R248" i="4"/>
  <c r="R247" i="4"/>
  <c r="R95" i="4"/>
  <c r="R94" i="4"/>
  <c r="R93" i="4"/>
  <c r="R92" i="4"/>
  <c r="R91" i="4"/>
  <c r="R90" i="4"/>
  <c r="R89" i="4"/>
  <c r="R88" i="4"/>
  <c r="R87" i="4"/>
  <c r="R5" i="4"/>
  <c r="R4" i="4"/>
  <c r="R3" i="4"/>
  <c r="R2" i="4"/>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G206" i="2"/>
  <c r="G45" i="2"/>
  <c r="G146" i="2"/>
  <c r="G18" i="2"/>
  <c r="G19" i="2"/>
  <c r="G26" i="2"/>
  <c r="G27" i="2"/>
  <c r="G194" i="2"/>
  <c r="G195" i="2"/>
  <c r="G196" i="2"/>
  <c r="G197" i="2"/>
  <c r="G198" i="2"/>
  <c r="G199" i="2"/>
  <c r="G200" i="2"/>
  <c r="G205" i="2"/>
  <c r="G208" i="2"/>
  <c r="G209" i="2"/>
  <c r="G210" i="2"/>
  <c r="G227" i="2"/>
  <c r="G228" i="2"/>
  <c r="G226" i="2"/>
  <c r="G219" i="2"/>
  <c r="G150" i="2"/>
</calcChain>
</file>

<file path=xl/sharedStrings.xml><?xml version="1.0" encoding="utf-8"?>
<sst xmlns="http://schemas.openxmlformats.org/spreadsheetml/2006/main" count="17543" uniqueCount="2060">
  <si>
    <t>Project Number</t>
  </si>
  <si>
    <t>Project Name</t>
  </si>
  <si>
    <t>Client Name</t>
  </si>
  <si>
    <t>Project Manager</t>
  </si>
  <si>
    <t>Location</t>
  </si>
  <si>
    <t>Currency</t>
  </si>
  <si>
    <t>Total Contract Value</t>
  </si>
  <si>
    <t>Signed Contract/ LOA</t>
  </si>
  <si>
    <t>Award (Contracts)</t>
  </si>
  <si>
    <t>Form of Contract (Contracts)</t>
  </si>
  <si>
    <t>Issue (Contracts)</t>
  </si>
  <si>
    <t>Technical Review (PM)</t>
  </si>
  <si>
    <t>Commercial Review (Finance)</t>
  </si>
  <si>
    <t>Submitted to Dr. Shams for Signature (Contracts)</t>
  </si>
  <si>
    <t>Signed by Dr. Shams (Contracts)</t>
  </si>
  <si>
    <t>Submitted for Client Signature (Contracts)</t>
  </si>
  <si>
    <t>Signed Contract Collected (Contracts)</t>
  </si>
  <si>
    <t>Remarks</t>
  </si>
  <si>
    <t>Year</t>
  </si>
  <si>
    <t>Date</t>
  </si>
  <si>
    <t>26-020-AUH</t>
  </si>
  <si>
    <t>Villa Layouts Des Competition_ADPIC</t>
  </si>
  <si>
    <t>ADPIC</t>
  </si>
  <si>
    <t>Asser Galaby</t>
  </si>
  <si>
    <t>UAE</t>
  </si>
  <si>
    <t>AED</t>
  </si>
  <si>
    <t>No</t>
  </si>
  <si>
    <t>Complete</t>
  </si>
  <si>
    <t>Pending</t>
  </si>
  <si>
    <t>Awaiting form of contract, however the competition is done and the client agreed to issue an invoice</t>
  </si>
  <si>
    <t>26-019-AUH</t>
  </si>
  <si>
    <t>Airport Community Design Competition</t>
  </si>
  <si>
    <t>International Capital Trading LLC (ICT)</t>
  </si>
  <si>
    <t>Awaiting the Form of Contract; however, the competition has already commenced, and the invoice can be issued upon completion even if the contract remains unsigned.</t>
  </si>
  <si>
    <t>26-018-RAK</t>
  </si>
  <si>
    <t>Des Eng Hamra Golf Club_Al Hamra RE</t>
  </si>
  <si>
    <t>Al Hamra Golf Club LLC</t>
  </si>
  <si>
    <t>Ahmed Kafrawy</t>
  </si>
  <si>
    <t>Yes</t>
  </si>
  <si>
    <t>26-017-KSA</t>
  </si>
  <si>
    <t>SADAYEM District ABHUR - JEDDAH G+15</t>
  </si>
  <si>
    <t>NHC</t>
  </si>
  <si>
    <t>Others</t>
  </si>
  <si>
    <t>KSA</t>
  </si>
  <si>
    <t>SAR</t>
  </si>
  <si>
    <t>S26016 -DXB</t>
  </si>
  <si>
    <t>Feasibility Study_ Eluvis</t>
  </si>
  <si>
    <t>Dove Corporate Services LLC</t>
  </si>
  <si>
    <t>Mohamed Tahoun</t>
  </si>
  <si>
    <t>26-015-LY</t>
  </si>
  <si>
    <t>Al Ahli Club - Enmaa</t>
  </si>
  <si>
    <t>Libyan ENMAA for Urban Development Company</t>
  </si>
  <si>
    <t>LY</t>
  </si>
  <si>
    <t>USD</t>
  </si>
  <si>
    <t>26-014-DXB</t>
  </si>
  <si>
    <t>J2015 JGE Phase 2 - South Villas 2 - Wasl</t>
  </si>
  <si>
    <t>WASL</t>
  </si>
  <si>
    <t>The client send an RFP and we submitted the proposol to them  15-5-26 , the client replied with comments on 8-Jun-26 and  we will resubmit a new one soon</t>
  </si>
  <si>
    <t>26-013-LY</t>
  </si>
  <si>
    <t>Masterplan Via Largo Residential Compound - Omni</t>
  </si>
  <si>
    <t>OMNI</t>
  </si>
  <si>
    <t>Ahmed Farouk</t>
  </si>
  <si>
    <t xml:space="preserve"> </t>
  </si>
  <si>
    <t>S26012-KSA</t>
  </si>
  <si>
    <t>Des_IWD PH 1_KEC</t>
  </si>
  <si>
    <t>KEC</t>
  </si>
  <si>
    <t>Rana Khalid</t>
  </si>
  <si>
    <t>S26011-LY</t>
  </si>
  <si>
    <t>IPH Office Complex</t>
  </si>
  <si>
    <t>MERAAS for Engineering and Construction</t>
  </si>
  <si>
    <t>26-010-LY</t>
  </si>
  <si>
    <t>Hadrat Al Aamerah Masterplan - Enma - Pre Concept</t>
  </si>
  <si>
    <t>White Sea Star General Trading L.L.C</t>
  </si>
  <si>
    <t>26-009-EGY</t>
  </si>
  <si>
    <t>5 Feddans Mixed -use-Melee</t>
  </si>
  <si>
    <t>SMELEE Touristic &amp; Real Estate</t>
  </si>
  <si>
    <t>EGY</t>
  </si>
  <si>
    <t>EGP</t>
  </si>
  <si>
    <t>26-008-LY</t>
  </si>
  <si>
    <t>Qar Younis Masterplan,Libya</t>
  </si>
  <si>
    <t>26-007-KSA</t>
  </si>
  <si>
    <t>Khuzam 04 Zone 01 Villas Najdiyah - NHC</t>
  </si>
  <si>
    <t>Mohamed Magdy</t>
  </si>
  <si>
    <t xml:space="preserve">26-006-LY </t>
  </si>
  <si>
    <t>AlHawari Bldg Enmaa</t>
  </si>
  <si>
    <t>26-005-KSA</t>
  </si>
  <si>
    <t xml:space="preserve"> Al Khuzam Park Appartments West-NHC</t>
  </si>
  <si>
    <t>NHC - National Housing Company</t>
  </si>
  <si>
    <t>Awaiting PO from NHC</t>
  </si>
  <si>
    <t>26-004-DHB</t>
  </si>
  <si>
    <t>LIV6 ,Safeer Tower,Dubai Marina</t>
  </si>
  <si>
    <t>Marina 7 Developers Holding Limited</t>
  </si>
  <si>
    <t>26-003-SHJ</t>
  </si>
  <si>
    <t>Development - Al Marwan x Shurooq</t>
  </si>
  <si>
    <t>Shurooq and Al Marwan Real Estate Developments LLC</t>
  </si>
  <si>
    <t>26-002-LY</t>
  </si>
  <si>
    <t>Pre-Concept for Res.Dev.Roya,BenGhazi</t>
  </si>
  <si>
    <t>Roya Development</t>
  </si>
  <si>
    <t>26-001-LY</t>
  </si>
  <si>
    <t>Road Design and Traffic Study for Surrounding Area of Julyana, Ben Gazi ,Libya</t>
  </si>
  <si>
    <t>Nivan Fahem</t>
  </si>
  <si>
    <t>25-052-EGY</t>
  </si>
  <si>
    <t>Design Services for ROVE HOTEL PROJECT Desert Road -Cairo-Egypt</t>
  </si>
  <si>
    <t>ElSayyad for Hotels &amp; Resorts</t>
  </si>
  <si>
    <t>25-051-UAE</t>
  </si>
  <si>
    <t>J2005 JGE Phase 2-Concept Vision for Hilltop Mansions–Wasl</t>
  </si>
  <si>
    <t>JGE Development</t>
  </si>
  <si>
    <t xml:space="preserve">25-050 -LY </t>
  </si>
  <si>
    <t>Villa 36 - IPH</t>
  </si>
  <si>
    <t xml:space="preserve">25-049 -UAE </t>
  </si>
  <si>
    <t>J2010 JGE Phase 2 -South Villas-Wasl</t>
  </si>
  <si>
    <t>Wasl</t>
  </si>
  <si>
    <t>LOA received on 23-Mar-26, waiting the client standard contract</t>
  </si>
  <si>
    <t>25-048-UAE</t>
  </si>
  <si>
    <t xml:space="preserve">Consultancy Services for Villa Al Khawaneej </t>
  </si>
  <si>
    <t xml:space="preserve">Naga Signature </t>
  </si>
  <si>
    <t>Mahmoud Alaa Eldin</t>
  </si>
  <si>
    <t>25-047-UAE</t>
  </si>
  <si>
    <t xml:space="preserve">Consultancy Services for Villa Ned Al Humer </t>
  </si>
  <si>
    <t>25-046-SHJ</t>
  </si>
  <si>
    <t>Consultancy Services for CBD PH 3-ARADA</t>
  </si>
  <si>
    <t>ALJADA Development</t>
  </si>
  <si>
    <t>25-045 LY</t>
  </si>
  <si>
    <t>Consultancy Service for Zero Zero Libya</t>
  </si>
  <si>
    <t>25-044-LY</t>
  </si>
  <si>
    <t>Consultancy Service for ENMAA Office Headquarters</t>
  </si>
  <si>
    <t>25-043-KSA</t>
  </si>
  <si>
    <t>Al Majdya Mosque - Fursan NHC</t>
  </si>
  <si>
    <t>Dar Al Majed</t>
  </si>
  <si>
    <t>Awaiting LOA by client</t>
  </si>
  <si>
    <t>25-042-KSA</t>
  </si>
  <si>
    <t>Design Services for Mixed-use Dvpt. for KNowledge Gardens – KEC</t>
  </si>
  <si>
    <t xml:space="preserve">25-041-KSA
</t>
  </si>
  <si>
    <t>Marketing Materials for NHC</t>
  </si>
  <si>
    <t>Media Production</t>
  </si>
  <si>
    <t>25-040-AE</t>
  </si>
  <si>
    <t>Design Guidelines Services for Res. Villas in Al Ain – AECOM</t>
  </si>
  <si>
    <t xml:space="preserve">AECOM </t>
  </si>
  <si>
    <t>Contract amount is converted to a VO on 24-034 ( Amerah old project which is already signed ) so that we can accelerate the payment process</t>
  </si>
  <si>
    <t>25-039-EGY</t>
  </si>
  <si>
    <t>Design Services Ivoire East - Gates and Fences</t>
  </si>
  <si>
    <t>PRE Developments</t>
  </si>
  <si>
    <t>25-038-EGY</t>
  </si>
  <si>
    <t>Design Services The Brooks - Gates &amp; Fences</t>
  </si>
  <si>
    <t>25-037-KSA</t>
  </si>
  <si>
    <t>Construction Supervision Services for Al Khuzam Park East - NHC</t>
  </si>
  <si>
    <t>25-036-KSA</t>
  </si>
  <si>
    <t>Design &amp; Supervision Services for Fursan 3 Zone 8</t>
  </si>
  <si>
    <t>25-035-KSA</t>
  </si>
  <si>
    <t>Design &amp; Supervision Services for Fursan 3 Zone 7</t>
  </si>
  <si>
    <t>25-034-UAE</t>
  </si>
  <si>
    <t xml:space="preserve"> Design Service for Residential Villas for Al Haffar Development - ALDAR</t>
  </si>
  <si>
    <t>Al Dar</t>
  </si>
  <si>
    <t>25-033-KSA</t>
  </si>
  <si>
    <t>KSA Consultancy Service for Retrofitting of the IWWTP - Hoor Alarab</t>
  </si>
  <si>
    <t>Hoor Alarab</t>
  </si>
  <si>
    <t>25-032-UAE</t>
  </si>
  <si>
    <t xml:space="preserve"> Design Service for Res. Villa for Mr. Shariq Qadri</t>
  </si>
  <si>
    <t>Mr. Shariq Qadri</t>
  </si>
  <si>
    <t>25-031-UAE</t>
  </si>
  <si>
    <t>Construction Supervision Service for Res. Villa for Ms. Carmen Gratiela Gerkens Albu</t>
  </si>
  <si>
    <t xml:space="preserve"> Ms. Carmen Gratiela Gerkens Albu</t>
  </si>
  <si>
    <t>25-030-UAE</t>
  </si>
  <si>
    <t>Design and Construction Supervision Services for Res.Dvpt. for THCCW – Emaar</t>
  </si>
  <si>
    <t>Emaar Development</t>
  </si>
  <si>
    <t>25-029-UAE</t>
  </si>
  <si>
    <t>Design and Construction Supervision for Valencia Groove- 3 Plots - Wasl</t>
  </si>
  <si>
    <t>25-028-KSA</t>
  </si>
  <si>
    <t>Operating and Managing the Governance of Infrastructure – PMO - HAIL</t>
  </si>
  <si>
    <t>HAIL District</t>
  </si>
  <si>
    <t xml:space="preserve">25-027-UAE </t>
  </si>
  <si>
    <t>Design Services for Emirati Neighbourhood – AECOM</t>
  </si>
  <si>
    <t xml:space="preserve">25-026-UAE </t>
  </si>
  <si>
    <t>Consultancy Service for City Beautification - PWC</t>
  </si>
  <si>
    <t>PWC</t>
  </si>
  <si>
    <t>25-025-SHJ</t>
  </si>
  <si>
    <t>Consultancy Services for Block F - CBD Phase 2 - Al Jada</t>
  </si>
  <si>
    <t>25-024-KSA</t>
  </si>
  <si>
    <t>Design Services for Res. Villa 179 - Dar Al Majeed</t>
  </si>
  <si>
    <t xml:space="preserve">Dar Al Majeed </t>
  </si>
  <si>
    <t>25-023-EGY</t>
  </si>
  <si>
    <t>NMQ - Commercial Phase 03 &amp; 04 - Melee</t>
  </si>
  <si>
    <t xml:space="preserve">SMELEETOURISTIC &amp; REAL ESTATE MANAGEMENT AND DEVELOPMENT </t>
  </si>
  <si>
    <t>25-022-KSA</t>
  </si>
  <si>
    <t>Consultancy Service for Ubyah-2 - Fursan 2 - NHC</t>
  </si>
  <si>
    <t>25-021-KSA</t>
  </si>
  <si>
    <t xml:space="preserve">Design &amp; Supervision Service for Al Thuraya 2 - NHC </t>
  </si>
  <si>
    <t>25-020-KSA</t>
  </si>
  <si>
    <t>Consultancy Services for Al Azizia – NHC</t>
  </si>
  <si>
    <t>25-019-KSA</t>
  </si>
  <si>
    <t>Masterplan &amp; Supervision Service for Fursan 3 - NHC</t>
  </si>
  <si>
    <t>25-018-KSA</t>
  </si>
  <si>
    <t>Tender Package for Batterjee Medical College – IHCC</t>
  </si>
  <si>
    <t>Advanced Architecture and Engineering Consultants. Co</t>
  </si>
  <si>
    <t xml:space="preserve">25-017-KSA </t>
  </si>
  <si>
    <t xml:space="preserve">Masterplan and Villa Design Service - Al Tahaluf </t>
  </si>
  <si>
    <t>Al Tahaluf Real Estate</t>
  </si>
  <si>
    <t>25-017-KSA</t>
  </si>
  <si>
    <t>Masterplan and Villa Design Service - Al Tahaluf</t>
  </si>
  <si>
    <t>25-016-EGY</t>
  </si>
  <si>
    <t>Masterplan Service for The Big Business District - Roya</t>
  </si>
  <si>
    <t>25-015-KSA</t>
  </si>
  <si>
    <t>25P063-KSA Design Services for Res. Community - InNovo -DHB</t>
  </si>
  <si>
    <t>DHB</t>
  </si>
  <si>
    <t>25-014-LY</t>
  </si>
  <si>
    <t>25P099-LY Pre-concept Master plan - Qar Yonis</t>
  </si>
  <si>
    <t>25-013-KSA</t>
  </si>
  <si>
    <t xml:space="preserve">Design Sub-Consultancy Services 
MuraNo Extension Project </t>
  </si>
  <si>
    <t>ACE Project Management</t>
  </si>
  <si>
    <t>25-012-KSA</t>
  </si>
  <si>
    <t>Consultancy Services for Shamal Khat Asfan - NHC</t>
  </si>
  <si>
    <t>25-011-KSA</t>
  </si>
  <si>
    <t>Design and Supervision Service for Res. Villa for Mr. Abdulla Aljallaf</t>
  </si>
  <si>
    <t xml:space="preserve"> Mr. Abdulla Aljallaf</t>
  </si>
  <si>
    <t>25-010-LY</t>
  </si>
  <si>
    <t>Consultancy Service for Julyana Disctrict</t>
  </si>
  <si>
    <t>25-009-KSA</t>
  </si>
  <si>
    <t>Consultancy Service for Soudah Dvpt. - AECOM</t>
  </si>
  <si>
    <t>25-008-UAE</t>
  </si>
  <si>
    <t>Infrastructure Services for Greenland Company</t>
  </si>
  <si>
    <t>Dubai Municibality</t>
  </si>
  <si>
    <t>25-007-ANN</t>
  </si>
  <si>
    <t>Design Competition for National Housing Communities - IMKAN</t>
  </si>
  <si>
    <t xml:space="preserve"> IMKAN Properties</t>
  </si>
  <si>
    <t>25-006-EGY</t>
  </si>
  <si>
    <t>NMQ - Commercial Phase 02 - Melee</t>
  </si>
  <si>
    <t>Metee Touristic &amp; Real Estate Management 6 Development</t>
  </si>
  <si>
    <t>25-005-EGY</t>
  </si>
  <si>
    <t>Design &amp; Supervision for URBAN WALK - Knight Frank</t>
  </si>
  <si>
    <t xml:space="preserve">TAMEER  Development </t>
  </si>
  <si>
    <t>25-004-UAE</t>
  </si>
  <si>
    <t>Design Services for Res. Villa for Ms. Shamma Ablooki</t>
  </si>
  <si>
    <t>Ms. Shamma Alblooki</t>
  </si>
  <si>
    <t>Pending with client</t>
  </si>
  <si>
    <t>25-003-UAE</t>
  </si>
  <si>
    <t>Design Service for Res. Villa for Ms. Noora Alblooki</t>
  </si>
  <si>
    <t>Ms. Noora Alblooki</t>
  </si>
  <si>
    <t>25-002-KSA</t>
  </si>
  <si>
    <t>Proposal Preparation for Sports Boulevard Foundation</t>
  </si>
  <si>
    <t>AL Rajhi Constructions &amp; Development Company</t>
  </si>
  <si>
    <t>Signed by NAGA</t>
  </si>
  <si>
    <t>25-001-KSA</t>
  </si>
  <si>
    <t>Consultancy Service for AlFurzan 2 Zone 5 Villas - Dar Al Majeed</t>
  </si>
  <si>
    <t>Dar Al Majeed</t>
  </si>
  <si>
    <t xml:space="preserve">24P040-KSA </t>
  </si>
  <si>
    <t>KSA Hospitality Design for The Peninsula - V08</t>
  </si>
  <si>
    <t>Al Sataa/DHB</t>
  </si>
  <si>
    <t>EUR</t>
  </si>
  <si>
    <t xml:space="preserve">24-062-KSA </t>
  </si>
  <si>
    <t>KSA Villa Extension for Mr. Fawaz Al Hokeir - NAGA Signature</t>
  </si>
  <si>
    <t>Mr. Fawaz Al Hokeir</t>
  </si>
  <si>
    <t xml:space="preserve">24-061-KSA </t>
  </si>
  <si>
    <t>Consultancy Service for Rua El Madina - Al-Rajhi</t>
  </si>
  <si>
    <t>Al Rajhi Building &amp; Constructions Co</t>
  </si>
  <si>
    <t xml:space="preserve">24-060-KSA </t>
  </si>
  <si>
    <t>Marketing Material for Khuzam Apartments - NHC</t>
  </si>
  <si>
    <t xml:space="preserve">24-059-KSA </t>
  </si>
  <si>
    <t>Marketing Material for Marcia &amp; Marifa - NHC</t>
  </si>
  <si>
    <t xml:space="preserve">24-058-KSA </t>
  </si>
  <si>
    <t>Marketing Material for Fursan Ubaya - NHC</t>
  </si>
  <si>
    <t xml:space="preserve">24-057-KSA </t>
  </si>
  <si>
    <t>Marketing Material for Obhor Villas - NHC</t>
  </si>
  <si>
    <t xml:space="preserve">24-056-KSA </t>
  </si>
  <si>
    <t>Marketing Material for Obhor G+15 - NHC</t>
  </si>
  <si>
    <t xml:space="preserve">24-055-KSA </t>
  </si>
  <si>
    <t>Marketing Material for Makkah Alsharaye - NHC</t>
  </si>
  <si>
    <t>No PO OR signed contract / NHC</t>
  </si>
  <si>
    <t xml:space="preserve">24-054-KSA </t>
  </si>
  <si>
    <t>Consultancy Service for Res. Tower - Khawalid</t>
  </si>
  <si>
    <t>Khawalid Real Estate</t>
  </si>
  <si>
    <t xml:space="preserve">24-053-LY </t>
  </si>
  <si>
    <t>Pre-concept Master plan Jalyanah Business Center</t>
  </si>
  <si>
    <t xml:space="preserve">24-052-LY </t>
  </si>
  <si>
    <t>Pre-concept Design Atlantis Hotel</t>
  </si>
  <si>
    <t xml:space="preserve">24-051-KSA </t>
  </si>
  <si>
    <t>Consultancy Service for Jabeen - Sadara Units - Retal</t>
  </si>
  <si>
    <t>Retal Urban Development Company</t>
  </si>
  <si>
    <t xml:space="preserve">24-050-KSA </t>
  </si>
  <si>
    <t>Site Development in NHC Al Majdya - Dar Al Majeed</t>
  </si>
  <si>
    <t xml:space="preserve">24-049-KSA </t>
  </si>
  <si>
    <t>Res. Villa for Mr. Abunayan Abdulelah Abdullah</t>
  </si>
  <si>
    <t>Mrs. Manal Al Rashid</t>
  </si>
  <si>
    <t xml:space="preserve">24-048-KSA </t>
  </si>
  <si>
    <t>Design Services for Dhahran &amp; Al Bashaer - Al Tatweer Al Shamel</t>
  </si>
  <si>
    <t>Al Tatweer Al Shamel</t>
  </si>
  <si>
    <t>The contract remains unsigned by both parties, as the designated signatory is not listed on the trade license. A Power of Attorney is required to confirm their authority to sign on behalf of the company owner. However, it has been agreed with the client that the invoice may be issued without the signed contract.</t>
  </si>
  <si>
    <t xml:space="preserve">24-047-UAE </t>
  </si>
  <si>
    <t>Res. Villa at Meydan - Fam Developments</t>
  </si>
  <si>
    <t>Fam Developments</t>
  </si>
  <si>
    <t>24-046-RAK</t>
  </si>
  <si>
    <t>ULB ReNovation at Al Marjan Island - Uniestate</t>
  </si>
  <si>
    <t xml:space="preserve">Uniestate </t>
  </si>
  <si>
    <t>24-045-UAE</t>
  </si>
  <si>
    <t>Consultancy Services for Dubai Ladies Club - Archdome</t>
  </si>
  <si>
    <t>Archdome</t>
  </si>
  <si>
    <t xml:space="preserve">24-044-UAE </t>
  </si>
  <si>
    <t>Res. 4 Buildings in Jabil Ali for Solar Khoie</t>
  </si>
  <si>
    <t xml:space="preserve"> Khoie Power </t>
  </si>
  <si>
    <t xml:space="preserve">24-043-AAN </t>
  </si>
  <si>
    <t>Mezyad Residential Villas - AL DAR</t>
  </si>
  <si>
    <t xml:space="preserve">KEO </t>
  </si>
  <si>
    <t xml:space="preserve">24-042-UAE </t>
  </si>
  <si>
    <t>Consultancy Services for Luxury Mansions - Lead Development</t>
  </si>
  <si>
    <t>Lead Development</t>
  </si>
  <si>
    <t>24-041-KSA</t>
  </si>
  <si>
    <t>Consultancy Service for Al-Mahriqiya - Osus</t>
  </si>
  <si>
    <t>Osus Real Estate</t>
  </si>
  <si>
    <t xml:space="preserve">24-040-UAE </t>
  </si>
  <si>
    <t>Saadiyat Island Villa Façade Design - Al Dar</t>
  </si>
  <si>
    <t xml:space="preserve">Aloar </t>
  </si>
  <si>
    <t xml:space="preserve">24-039-IRQ </t>
  </si>
  <si>
    <t>(SAR) in Grand Faw Port Eastern breakwater</t>
  </si>
  <si>
    <t>Search and Rescue Center</t>
  </si>
  <si>
    <t xml:space="preserve">24-038-UAE </t>
  </si>
  <si>
    <t>Consultancy Service - R1145 Al Quoz Dvlpmnt - Wasl</t>
  </si>
  <si>
    <t xml:space="preserve">24-037-KSA </t>
  </si>
  <si>
    <t>Nesaj Town Al Azizyah - Retal</t>
  </si>
  <si>
    <t xml:space="preserve">24-036-UAE </t>
  </si>
  <si>
    <t>Villas Al Khuzam District - DHB</t>
  </si>
  <si>
    <t xml:space="preserve">24-035-UAE </t>
  </si>
  <si>
    <t>ID works at Festival Tower - Al-Futtaim</t>
  </si>
  <si>
    <t>Al-Futtaim</t>
  </si>
  <si>
    <t xml:space="preserve">24-034-UAE </t>
  </si>
  <si>
    <t>Al Amrah facades Design - Al Dar</t>
  </si>
  <si>
    <t>AECOM</t>
  </si>
  <si>
    <t xml:space="preserve">24-033-UAE </t>
  </si>
  <si>
    <t>Design Services - Res. Villa at Palm Jumeirah - HOME LIVING</t>
  </si>
  <si>
    <t xml:space="preserve">Mr.Ali Demirhan </t>
  </si>
  <si>
    <t xml:space="preserve">24-032-KSA </t>
  </si>
  <si>
    <t>Marketing Material for Al Azizia - NHC</t>
  </si>
  <si>
    <t xml:space="preserve">24-031-KSA </t>
  </si>
  <si>
    <t>Consultancy Service for Retal City - Retal</t>
  </si>
  <si>
    <t>24-030-UAE</t>
  </si>
  <si>
    <t>Res. Building for Hacienda Real Estate</t>
  </si>
  <si>
    <t>Hacienda Real Estate</t>
  </si>
  <si>
    <t xml:space="preserve">24-029-KSA </t>
  </si>
  <si>
    <t>Consultancy Services for Dar AlMajeed</t>
  </si>
  <si>
    <t xml:space="preserve">24-028-KSA </t>
  </si>
  <si>
    <t>Consultancy Service for Mosque Murcia 1 - NHC</t>
  </si>
  <si>
    <t xml:space="preserve">24-027-UAE </t>
  </si>
  <si>
    <t>Res. Building in Yas Island - DHB</t>
  </si>
  <si>
    <t xml:space="preserve">24-026-UAE to 23-036 </t>
  </si>
  <si>
    <t>Fahid Island - Flora District - Townhouses &amp; Villas - Al Dar</t>
  </si>
  <si>
    <t xml:space="preserve">24-025-KSA </t>
  </si>
  <si>
    <t>Al-Khuzam Park Apartments - NHC</t>
  </si>
  <si>
    <t xml:space="preserve">24-024-KSA </t>
  </si>
  <si>
    <t>Pre-concept Master plan for Asfan - Retal</t>
  </si>
  <si>
    <t xml:space="preserve">24-023-KSA </t>
  </si>
  <si>
    <t>Marketing Material for Fursan
3 - NHC</t>
  </si>
  <si>
    <t xml:space="preserve">24-022-UAE </t>
  </si>
  <si>
    <t>Consultancy Service - J2004 Jumeirah Golf Estate Phase2 - Wasl</t>
  </si>
  <si>
    <t>24-021-KSA</t>
  </si>
  <si>
    <t>Masterplan for Al Khuzam sub-urb 04 - NHC</t>
  </si>
  <si>
    <t>24-020-KSA</t>
  </si>
  <si>
    <t>Pre-concept Master plan for Bin Jarallah Group</t>
  </si>
  <si>
    <t xml:space="preserve"> Bin Jarallah Group</t>
  </si>
  <si>
    <t xml:space="preserve">24-019-UAE </t>
  </si>
  <si>
    <t>Villa for Ms. Thulasi Sudhakaran</t>
  </si>
  <si>
    <t>Ms. Thulasi Sudhakaran</t>
  </si>
  <si>
    <t xml:space="preserve">24-018-UAE </t>
  </si>
  <si>
    <t>Final Concept Designs - Hemaya Centre - Dubai Police</t>
  </si>
  <si>
    <t>Dubai Police</t>
  </si>
  <si>
    <t xml:space="preserve">24-017-KSA </t>
  </si>
  <si>
    <t>Ewan Al Khuzam - Zone 3 - Retal</t>
  </si>
  <si>
    <t xml:space="preserve">24-016-UAE </t>
  </si>
  <si>
    <t>Villa for Mrs. Hanan Al Husseini</t>
  </si>
  <si>
    <t>Mrs. Hanan Al Husseini</t>
  </si>
  <si>
    <t xml:space="preserve">24-015-KSA </t>
  </si>
  <si>
    <t>Consultancy Services for KNowledge EcoNomic City</t>
  </si>
  <si>
    <t>Al Gharra Real Estate</t>
  </si>
  <si>
    <t xml:space="preserve">24-014-UAE </t>
  </si>
  <si>
    <t>Villa for Mr. Khuram Ahmed - Nakhlat Jumeira plot 381</t>
  </si>
  <si>
    <t>Mr. Khuram Ahmed</t>
  </si>
  <si>
    <t xml:space="preserve">24-013-UAE </t>
  </si>
  <si>
    <t>Villas for Mr. Hamad Al Blooki</t>
  </si>
  <si>
    <t>Mr. Hamad Al Blooki</t>
  </si>
  <si>
    <t xml:space="preserve">24-012-AJM </t>
  </si>
  <si>
    <t>Masfout Mosque for Mr. Hamad Al Ghurair</t>
  </si>
  <si>
    <t xml:space="preserve"> Mr. Hamad Al Ghurair</t>
  </si>
  <si>
    <t>24-011-UAE</t>
  </si>
  <si>
    <t xml:space="preserve"> Al Manara Townhouses - Omni Project Development</t>
  </si>
  <si>
    <t xml:space="preserve"> Omni Project Development</t>
  </si>
  <si>
    <t>24-010-KSA</t>
  </si>
  <si>
    <t>Masterplan &amp; Concept Design - Al Thamama</t>
  </si>
  <si>
    <t>Hammad Al Sargi Holding (HHC)</t>
  </si>
  <si>
    <t>24-009-UAE</t>
  </si>
  <si>
    <t>Community Mosque - Lead Design - Emaar</t>
  </si>
  <si>
    <t>24-008-KSA</t>
  </si>
  <si>
    <t>Consultancy Service for Sheikh Fawaz Al Hokeir Compound</t>
  </si>
  <si>
    <t xml:space="preserve"> Sheikh Fawaz Al Hokeir</t>
  </si>
  <si>
    <t>24-007-KSA</t>
  </si>
  <si>
    <t>Consultancy Service for Jabeen in Jubal City - Retal</t>
  </si>
  <si>
    <t>24-006-KSA</t>
  </si>
  <si>
    <t xml:space="preserve">Villa for Mr. Hussain M. Jameel </t>
  </si>
  <si>
    <t>Mr. Hussein Mohammed Jameel</t>
  </si>
  <si>
    <t xml:space="preserve">24-005-KSA </t>
  </si>
  <si>
    <t>Marketing Material for Al Asala - NHC</t>
  </si>
  <si>
    <t>24-004-UAE</t>
  </si>
  <si>
    <t>Villa for Mr. Neal Sahni (NS)</t>
  </si>
  <si>
    <t>Mr. Neal Sahni</t>
  </si>
  <si>
    <t>24-003-UAE</t>
  </si>
  <si>
    <t>Villa for Mr. Binayak Dutta (NS)</t>
  </si>
  <si>
    <t>Mr. Binayak Dutta</t>
  </si>
  <si>
    <t>24-002-UAE</t>
  </si>
  <si>
    <t>Al Haffar Villas Development - 
AL DAR</t>
  </si>
  <si>
    <t xml:space="preserve">24-001-KSA </t>
  </si>
  <si>
    <t>Masterplan Services in Al Qassim - RIADAT ALFURSAN</t>
  </si>
  <si>
    <t>Riadat Alfursan</t>
  </si>
  <si>
    <t xml:space="preserve">23-043-KSA </t>
  </si>
  <si>
    <t>Masterplan Services - FURSAN - Canceled</t>
  </si>
  <si>
    <t xml:space="preserve">23-042-KSA </t>
  </si>
  <si>
    <t>Murcia 2 Zone 6 - NHC</t>
  </si>
  <si>
    <t xml:space="preserve">23-041-KSA </t>
  </si>
  <si>
    <t>Consultancy Service - Zone 9 &amp; 10 Al Fursan - NHC</t>
  </si>
  <si>
    <t xml:space="preserve">23-040-UAE </t>
  </si>
  <si>
    <t>Res. Villa for Mrs. Noora Al Blooki</t>
  </si>
  <si>
    <t>Mrs. Noora Al Blooki</t>
  </si>
  <si>
    <t xml:space="preserve">23-039-UAE </t>
  </si>
  <si>
    <t>Res Villa for Mr. Mohammed Numaan at Dubai Hills</t>
  </si>
  <si>
    <t>Mr. Mohammed Numaan</t>
  </si>
  <si>
    <t xml:space="preserve">23-038-AAN </t>
  </si>
  <si>
    <t>Res. Villa for Mr. Ahmed Al Shamsi</t>
  </si>
  <si>
    <t>Mr. Ahmed Al Shamsi</t>
  </si>
  <si>
    <t xml:space="preserve">23-037-KSA </t>
  </si>
  <si>
    <t>Marketing Material for Obhor - Sadayem - NHC</t>
  </si>
  <si>
    <t xml:space="preserve">23-036-UAE </t>
  </si>
  <si>
    <t>Consultancy Service for Al Fahid Terra Villas and Townhouses - Al Dar</t>
  </si>
  <si>
    <t xml:space="preserve">23-035-UAE </t>
  </si>
  <si>
    <t>Future Foresight Center &amp; Moroona Building - Dubai Police</t>
  </si>
  <si>
    <t xml:space="preserve">23-034-KSA </t>
  </si>
  <si>
    <t>Marketing Material for Makkah - NHC</t>
  </si>
  <si>
    <t>Paid in Full - to cross check with receivables</t>
  </si>
  <si>
    <t xml:space="preserve">23-033-KSA </t>
  </si>
  <si>
    <t>Marketing Material for Al Khuzam - NHC</t>
  </si>
  <si>
    <t xml:space="preserve">23-032-UAE </t>
  </si>
  <si>
    <t>Res. Villa for Mr. Khaled Al Hashemi</t>
  </si>
  <si>
    <t>Mr. Khaled Al Hashemi</t>
  </si>
  <si>
    <t xml:space="preserve">23-031-EGY </t>
  </si>
  <si>
    <t>Res. Villas &amp; Townhouses - Project X</t>
  </si>
  <si>
    <t>Melee Development</t>
  </si>
  <si>
    <t>yes</t>
  </si>
  <si>
    <t xml:space="preserve">23-030-UAE </t>
  </si>
  <si>
    <t>Res. Marina Villas for Al Dar Properties</t>
  </si>
  <si>
    <t xml:space="preserve">23-029-UAE </t>
  </si>
  <si>
    <t>Res. Villa for Mr. Adham Abdelmuti Adil Murad</t>
  </si>
  <si>
    <t>Mr. Adham Abdelmuti Adil Murad</t>
  </si>
  <si>
    <t xml:space="preserve">23-028-UAE </t>
  </si>
  <si>
    <t>Consultancy Services for Senior Citizens Club at AL Khawaneej Park</t>
  </si>
  <si>
    <t xml:space="preserve">23-027-KSA </t>
  </si>
  <si>
    <t>Res.Villa for Al Rashed Family</t>
  </si>
  <si>
    <t>Mr. Abdulaziz Al Rashed</t>
  </si>
  <si>
    <t xml:space="preserve">23-026-KSA </t>
  </si>
  <si>
    <t>Building Design for KAFD A11</t>
  </si>
  <si>
    <t>KAFD A11</t>
  </si>
  <si>
    <t xml:space="preserve">23-025-RAK </t>
  </si>
  <si>
    <t>Res. Villas for Sheikh Omar AlQasemi</t>
  </si>
  <si>
    <t>Sheikh Omar AlQasemi</t>
  </si>
  <si>
    <t xml:space="preserve">23-024-UAE </t>
  </si>
  <si>
    <t>AOR Services for Building - Omniyat</t>
  </si>
  <si>
    <t>Omniyat</t>
  </si>
  <si>
    <t xml:space="preserve">23-023-EGY </t>
  </si>
  <si>
    <t>Consultancy Service for Project X - Melee</t>
  </si>
  <si>
    <t>Melee decelopment</t>
  </si>
  <si>
    <t xml:space="preserve">23-022-UAE </t>
  </si>
  <si>
    <t>Res. Villa for Mr. Khadim Al Remeithi</t>
  </si>
  <si>
    <t>Mr. Khadim Al Remeithi</t>
  </si>
  <si>
    <t xml:space="preserve">23-021-UAE </t>
  </si>
  <si>
    <t>Res Villa for Mr. Mohammed Numaan at MBR District 1</t>
  </si>
  <si>
    <t xml:space="preserve">23-020-KSA </t>
  </si>
  <si>
    <t>Design Services for Nesaj Town Asala - Retal</t>
  </si>
  <si>
    <t xml:space="preserve">23-019-KSA </t>
  </si>
  <si>
    <t>Design Services for Nesaj Sadan - Retal</t>
  </si>
  <si>
    <t>As per PM, the contract is signed by client - however we do Not have record of the document</t>
  </si>
  <si>
    <t xml:space="preserve">23-018-KSA </t>
  </si>
  <si>
    <t>Design Competition for Al Ras Alabyad - Red Sea</t>
  </si>
  <si>
    <t>HE RED SEA DEVELOPMENT COMPANY</t>
  </si>
  <si>
    <t xml:space="preserve">23-017-UAE </t>
  </si>
  <si>
    <t>Res. Villa for Mrs. Shamma</t>
  </si>
  <si>
    <t xml:space="preserve"> Mrs. Shamma Al Dhaheri</t>
  </si>
  <si>
    <t xml:space="preserve">23-016-UAE </t>
  </si>
  <si>
    <t>Res. Villas for ANK DEVELOPERS PP02033-PP02034</t>
  </si>
  <si>
    <t>ANK DEVELOPERS</t>
  </si>
  <si>
    <t xml:space="preserve">23-015-KSA </t>
  </si>
  <si>
    <t>Design - Master Planning  LS for Riyadh View</t>
  </si>
  <si>
    <t>Qawaed Al Sarh Contracting Company</t>
  </si>
  <si>
    <t xml:space="preserve">23-014-KSA </t>
  </si>
  <si>
    <t>Hospitality Design for Al-Dhaib Hotel</t>
  </si>
  <si>
    <t xml:space="preserve">HAMMOUD ABDULLAH AL­DHAIB HOLDING COMPANY </t>
  </si>
  <si>
    <t xml:space="preserve">23-012-UAE </t>
  </si>
  <si>
    <t>Res. Villa for Mr. Chingis</t>
  </si>
  <si>
    <t xml:space="preserve">Mr. Chingis lsmagulov </t>
  </si>
  <si>
    <t xml:space="preserve">23-011-UAE </t>
  </si>
  <si>
    <t>Masterplan and Villas Community Design - DHB</t>
  </si>
  <si>
    <t xml:space="preserve">23-010-KSA </t>
  </si>
  <si>
    <t>MP Design for Al Azizia - NHC</t>
  </si>
  <si>
    <t xml:space="preserve">23-009-KSA </t>
  </si>
  <si>
    <t>MP Design for Red Sea Project</t>
  </si>
  <si>
    <t xml:space="preserve">Amalaa </t>
  </si>
  <si>
    <t xml:space="preserve">23-008-KSA </t>
  </si>
  <si>
    <t>Res. Villas &amp; Building for Obhor - NHC</t>
  </si>
  <si>
    <t>The client has made multiple changes to the design scope. We submitted the latest proposal on 17 December 2025 and are now awaiting the purchase order.</t>
  </si>
  <si>
    <t xml:space="preserve">23-007-KSA </t>
  </si>
  <si>
    <t>Nesaj Town Al Fursan 2 - Retal</t>
  </si>
  <si>
    <t xml:space="preserve">23-006-UAE </t>
  </si>
  <si>
    <t>Res. Villa for ANK DEVELOPERS 6316632</t>
  </si>
  <si>
    <t xml:space="preserve">23-005-UAE </t>
  </si>
  <si>
    <t>Res. Villas for ANK DEVELOPERS PP02034-PP02035</t>
  </si>
  <si>
    <t>23-004-UAE</t>
  </si>
  <si>
    <t>Res.Villa for Al Mansoori Family</t>
  </si>
  <si>
    <t>Mr. Khaled AL Mansoori</t>
  </si>
  <si>
    <t xml:space="preserve">23-003-UAE </t>
  </si>
  <si>
    <t>Res. Villas for ANK DEVELOPERS PP02.047 &amp; PP02.048</t>
  </si>
  <si>
    <t>ANK DEVELOPERS PP02028</t>
  </si>
  <si>
    <t xml:space="preserve">23-002-KSA </t>
  </si>
  <si>
    <t>Res. Developments at Obhur - Jewan</t>
  </si>
  <si>
    <t xml:space="preserve">MURCIA AND AHAD FAROOQ ALDELIGAN </t>
  </si>
  <si>
    <t>23-001-UAE</t>
  </si>
  <si>
    <t>Res. Villa for ANK DEVELOPERS PP02028</t>
  </si>
  <si>
    <t>22-050-KSA</t>
  </si>
  <si>
    <t>Marketing Material for Al Sadan Masterplan - NHC</t>
  </si>
  <si>
    <t>22-049-KSA</t>
  </si>
  <si>
    <t xml:space="preserve"> Marketing Material for Railway Masterplan - NHC</t>
  </si>
  <si>
    <t>22-048-KSA</t>
  </si>
  <si>
    <t>Marketing Material for Abiar Ali Masterplan - NHC</t>
  </si>
  <si>
    <t>22-047-KSA</t>
  </si>
  <si>
    <t>Marketing Material for Al Fursan - NHC</t>
  </si>
  <si>
    <t>22-046-KSA</t>
  </si>
  <si>
    <t>NHC Arch. Design Guidelines at Khamis Mushait</t>
  </si>
  <si>
    <t>22-045-KSA</t>
  </si>
  <si>
    <t xml:space="preserve"> NHC Arch. Design Guidelines at Dammam &amp; Qatif</t>
  </si>
  <si>
    <t>22-044-KSA</t>
  </si>
  <si>
    <t>NHC Arch. Design Guidelines at Tabouk</t>
  </si>
  <si>
    <t>22-043-KSA</t>
  </si>
  <si>
    <t>NHC Arch. Design Guidelines at Madinah</t>
  </si>
  <si>
    <t>22-042-KSA</t>
  </si>
  <si>
    <t>NHC Arch. Design Guidelines at Macca</t>
  </si>
  <si>
    <t>22-041-RAK</t>
  </si>
  <si>
    <t>Sheikh Saqr Al Qassemi Residence</t>
  </si>
  <si>
    <t>Sheikh Saqr Al Qassemi</t>
  </si>
  <si>
    <t>22-040-KSA</t>
  </si>
  <si>
    <t>NHC Fursan Master plan</t>
  </si>
  <si>
    <t>22-039-KSA</t>
  </si>
  <si>
    <t>Nesaj Town Taif – Retal</t>
  </si>
  <si>
    <t>22-038-UAE</t>
  </si>
  <si>
    <t>Mosque at Safa Park - Dubai Municipality</t>
  </si>
  <si>
    <t>Dubai Municipality</t>
  </si>
  <si>
    <t>22-037-KSA</t>
  </si>
  <si>
    <t>Nesaj Town Tabouk - Retal</t>
  </si>
  <si>
    <t>22-036-UAE</t>
  </si>
  <si>
    <t>Res. Villa ReNovation for Mr. Lalit Taurani</t>
  </si>
  <si>
    <t>Mr. Lalit Taurani</t>
  </si>
  <si>
    <t>22-035-RAK</t>
  </si>
  <si>
    <t>Royal Villa &amp; Majlis at Jebel Jais</t>
  </si>
  <si>
    <t>AL MARJAN ISLAND LLC</t>
  </si>
  <si>
    <t>Signed Contract not found - Project on hold</t>
  </si>
  <si>
    <t>22-034-UAE</t>
  </si>
  <si>
    <t>Residential Villa for Ms.Howaida Al Mulla</t>
  </si>
  <si>
    <t>Ms.Howaida Al Mulla</t>
  </si>
  <si>
    <t>22-033-UAE</t>
  </si>
  <si>
    <t>Res Villa for Mrs. Tazmeen Villa 2</t>
  </si>
  <si>
    <t xml:space="preserve">Mrs. Tazmeen </t>
  </si>
  <si>
    <t>22-032-UAE</t>
  </si>
  <si>
    <t>Res Villa for Mrs. Tazmeen Villa 1</t>
  </si>
  <si>
    <t>Mrs. Tazmeen</t>
  </si>
  <si>
    <t>22-031-UAE</t>
  </si>
  <si>
    <t>Residential Villa for Mr.Suhail Rashed Al Qubasi</t>
  </si>
  <si>
    <t>Mr.Suhail Rashed Al Qubasi</t>
  </si>
  <si>
    <t>22-030-UAE</t>
  </si>
  <si>
    <t>Res. Villa for Mr. Neal Samni</t>
  </si>
  <si>
    <t>Mr. Neal Samni</t>
  </si>
  <si>
    <t>22-029-UAE</t>
  </si>
  <si>
    <t>ReNovation Villa for Mr. Azmy - Umm Suqeim 3</t>
  </si>
  <si>
    <t>Mr. Azmy</t>
  </si>
  <si>
    <t>22-028-RAK</t>
  </si>
  <si>
    <t>Res villa façade design for HH Shaikh Mohamed Bin Saoud Al Qasimi</t>
  </si>
  <si>
    <t>HH Shaikh Mohamed Bin Saoud Al Qasimi</t>
  </si>
  <si>
    <t>22-027-KSA</t>
  </si>
  <si>
    <t>Hail Municipality PMO</t>
  </si>
  <si>
    <t xml:space="preserve">Hail Municipality </t>
  </si>
  <si>
    <t>22-026-KSA</t>
  </si>
  <si>
    <t>Makkah Municipality PMO</t>
  </si>
  <si>
    <t>Makkah Municipality</t>
  </si>
  <si>
    <t>22-025-KSA</t>
  </si>
  <si>
    <t>Res. Villa for Sheikh Ali Al Fozan</t>
  </si>
  <si>
    <t>Sheikh Ali Al Fozan</t>
  </si>
  <si>
    <t>22-024-UAE</t>
  </si>
  <si>
    <t>Res. Building Maritime City for Sanali Group</t>
  </si>
  <si>
    <t>Sanali Group</t>
  </si>
  <si>
    <t>22-023-KSA</t>
  </si>
  <si>
    <t>Nesaj Town at Al Fursan</t>
  </si>
  <si>
    <t>Nesaj</t>
  </si>
  <si>
    <t>22-022-UAE</t>
  </si>
  <si>
    <t>Res villa for Mr. Khuram Ahmed Plot PP2002 in MBR</t>
  </si>
  <si>
    <t xml:space="preserve">Mr. Khuram Ahmed </t>
  </si>
  <si>
    <t>22-021-UAE</t>
  </si>
  <si>
    <t>Residential Villa ReNovation Design - ENI</t>
  </si>
  <si>
    <t>ENI</t>
  </si>
  <si>
    <t>22-020-UAE</t>
  </si>
  <si>
    <t>Dubai Maritime City Res. Dev. 2 - Omniyat</t>
  </si>
  <si>
    <t>22-019-KSA</t>
  </si>
  <si>
    <t>Masterplan and Villa prototypes at Murcia Zone 5 - Al Jewan</t>
  </si>
  <si>
    <t xml:space="preserve">22-018-KSA </t>
  </si>
  <si>
    <t>Nesaj Town Jeddah</t>
  </si>
  <si>
    <t>22-017-UAE</t>
  </si>
  <si>
    <t>Res Villa for Mr. Amal Vijayakumar in Saadiyat Reserve</t>
  </si>
  <si>
    <t>Mr. Amal Vijayakumar</t>
  </si>
  <si>
    <t>22-016-UAE</t>
  </si>
  <si>
    <t>Res. Villas for Samara Enterprises</t>
  </si>
  <si>
    <t>Samara Enterprises</t>
  </si>
  <si>
    <t>22-015 -KSA</t>
  </si>
  <si>
    <t>King Fahad Residential Tower</t>
  </si>
  <si>
    <t>Dr. Nasser</t>
  </si>
  <si>
    <t>22-014-KSA</t>
  </si>
  <si>
    <t>Dewanyah and Mosque For Mr. Saud AlKadi</t>
  </si>
  <si>
    <t>Saud Alkadi</t>
  </si>
  <si>
    <t xml:space="preserve">No official NAGA/client contract - A signed paper by Dr Shams on 27/5/2022 is available </t>
  </si>
  <si>
    <t>22-013-UAE</t>
  </si>
  <si>
    <t>Res. Villa for Mr. Vimal Vijayakumar in Saadiyat Reserve</t>
  </si>
  <si>
    <t>Mr. Vimal Vijayakumar</t>
  </si>
  <si>
    <t>22-012-KSA</t>
  </si>
  <si>
    <t>Res. Beach house for Nesaj</t>
  </si>
  <si>
    <t>22-011-EGY</t>
  </si>
  <si>
    <t>Res. Villa for Mr. Ahmed Saleh</t>
  </si>
  <si>
    <t>Mr. Ahmed Saleh</t>
  </si>
  <si>
    <t>22-010-UAE</t>
  </si>
  <si>
    <t>Saadiyat Logoons SD with KEO</t>
  </si>
  <si>
    <t>KEO</t>
  </si>
  <si>
    <t>22-008-UAE</t>
  </si>
  <si>
    <t>Res. Villa for Mr. Shahab Al Suwaidi</t>
  </si>
  <si>
    <t>Mr. Shahab Al Suwaidi</t>
  </si>
  <si>
    <t>22-007-UAE</t>
  </si>
  <si>
    <t>Res. Villa for Mrs. Hanan Al Husseini</t>
  </si>
  <si>
    <t>22-006-KSA</t>
  </si>
  <si>
    <t>Nesaj Town Safwa- Retal</t>
  </si>
  <si>
    <t>22-005-KSA</t>
  </si>
  <si>
    <t>King Abdullah Institute for Research and Consulting Studies at King Saud University</t>
  </si>
  <si>
    <t>King Saud University</t>
  </si>
  <si>
    <t>22-004-UAE</t>
  </si>
  <si>
    <t>Sadiyat Lagoons</t>
  </si>
  <si>
    <t>22-003-UAE</t>
  </si>
  <si>
    <t>Res. Villa for Mr. Saeed Al Ghurair</t>
  </si>
  <si>
    <t>Mr. Saeed Al Ghurair</t>
  </si>
  <si>
    <t>22-002-UAE</t>
  </si>
  <si>
    <t>Res. Villa for Mr. Saber Alrafi</t>
  </si>
  <si>
    <t>Mr. Saber Alrafi</t>
  </si>
  <si>
    <t>22-001-UAE</t>
  </si>
  <si>
    <t xml:space="preserve"> Res. Villa for H.E. Abdulla Saif Al Nuaimi</t>
  </si>
  <si>
    <t>H.E. Abdulla Saif Al Nuaimi</t>
  </si>
  <si>
    <t>Project No</t>
  </si>
  <si>
    <t>VO.No.</t>
  </si>
  <si>
    <t>Description</t>
  </si>
  <si>
    <t>Amount</t>
  </si>
  <si>
    <t xml:space="preserve"> VO Status</t>
  </si>
  <si>
    <t>Issuance Request (PM)</t>
  </si>
  <si>
    <t>Review (Contracts)</t>
  </si>
  <si>
    <t>Approval (Finance)</t>
  </si>
  <si>
    <t>Submit For client Signature (PM)</t>
  </si>
  <si>
    <t>VO Work Status (PM)</t>
  </si>
  <si>
    <t>Invoice (Finance)</t>
  </si>
  <si>
    <t>Invoice  Status (Receivables)</t>
  </si>
  <si>
    <t xml:space="preserve">20-001-DXB </t>
  </si>
  <si>
    <t>Res. Villa for Mr. Adil Allana</t>
  </si>
  <si>
    <t>Soil Investigation</t>
  </si>
  <si>
    <t>Superseded</t>
  </si>
  <si>
    <t>NA</t>
  </si>
  <si>
    <t>Engineering Services by Ramboll</t>
  </si>
  <si>
    <t>Total this Variation</t>
  </si>
  <si>
    <t>01-R1</t>
  </si>
  <si>
    <t>Soil Invest, Ramboll</t>
  </si>
  <si>
    <t>Kitchen TSSC</t>
  </si>
  <si>
    <t>Specialist Lighting coordination</t>
  </si>
  <si>
    <t>03-R1</t>
  </si>
  <si>
    <t xml:space="preserve">Tech assessment, indoor comfort </t>
  </si>
  <si>
    <t>04-R1</t>
  </si>
  <si>
    <t>Spa and Pool Design Services</t>
  </si>
  <si>
    <t>MEP Peer Review Fee Reversal</t>
  </si>
  <si>
    <t>Addl BUA Arch &amp; Engineering</t>
  </si>
  <si>
    <t>Addl BUA Interior Design</t>
  </si>
  <si>
    <t>07-R1</t>
  </si>
  <si>
    <t>Arch &amp; Engineering</t>
  </si>
  <si>
    <t>Interior Design</t>
  </si>
  <si>
    <t>07-R2</t>
  </si>
  <si>
    <t>07-R3</t>
  </si>
  <si>
    <t>07-R4</t>
  </si>
  <si>
    <t>Additional Fee</t>
  </si>
  <si>
    <t>07-R5</t>
  </si>
  <si>
    <t>Design/Cost Iteration</t>
  </si>
  <si>
    <t>Adittional Services</t>
  </si>
  <si>
    <t>08-R1</t>
  </si>
  <si>
    <t>Redesign/ Rework Fee</t>
  </si>
  <si>
    <t>08-R2</t>
  </si>
  <si>
    <t>08-R3</t>
  </si>
  <si>
    <t>Dome Structure</t>
  </si>
  <si>
    <t>Façade Design DD stage onwards</t>
  </si>
  <si>
    <t xml:space="preserve">CFD Modelling </t>
  </si>
  <si>
    <t>Lighting Design Changes</t>
  </si>
  <si>
    <t>Enabling Works Supervision</t>
  </si>
  <si>
    <t>13-R1</t>
  </si>
  <si>
    <t>Main Works Supervision 36 Months</t>
  </si>
  <si>
    <t>11-R1</t>
  </si>
  <si>
    <t>Iman's Roof water features &amp; Wet walls</t>
  </si>
  <si>
    <t>14-R1</t>
  </si>
  <si>
    <t xml:space="preserve">VRF System </t>
  </si>
  <si>
    <t>14-R2</t>
  </si>
  <si>
    <t>14-R3</t>
  </si>
  <si>
    <t>10-R6</t>
  </si>
  <si>
    <t>Main Works Supervision 30 Months</t>
  </si>
  <si>
    <t>20-002-DXB</t>
  </si>
  <si>
    <t>Villa for HE Hafza Al Ulama</t>
  </si>
  <si>
    <t>Closed</t>
  </si>
  <si>
    <t>Paid in full</t>
  </si>
  <si>
    <t>Bedroom Changes</t>
  </si>
  <si>
    <t>Landscape Design</t>
  </si>
  <si>
    <t>NS01</t>
  </si>
  <si>
    <t xml:space="preserve">20-005-DXB </t>
  </si>
  <si>
    <t>Res. Villa for Rughwani Family</t>
  </si>
  <si>
    <t>Monthly Supervision Fee</t>
  </si>
  <si>
    <t>Fee for Design Changes</t>
  </si>
  <si>
    <t xml:space="preserve">20-007-AUH </t>
  </si>
  <si>
    <t>AlHajeri Family Compound</t>
  </si>
  <si>
    <t>01-R0</t>
  </si>
  <si>
    <t>02-R2</t>
  </si>
  <si>
    <t>02-R3</t>
  </si>
  <si>
    <t>As in Exhibit B</t>
  </si>
  <si>
    <t>20-010-DXB</t>
  </si>
  <si>
    <t>Dahab Villas</t>
  </si>
  <si>
    <t>Approved</t>
  </si>
  <si>
    <t>Closed as per Receivables</t>
  </si>
  <si>
    <t>Add Basement to the building</t>
  </si>
  <si>
    <t>Concept Interior Design</t>
  </si>
  <si>
    <t xml:space="preserve">Open </t>
  </si>
  <si>
    <t>Lighting Design</t>
  </si>
  <si>
    <t>05-R1</t>
  </si>
  <si>
    <t>05-R2</t>
  </si>
  <si>
    <t>Monthly Fee For: 6 March- 5 June 2022</t>
  </si>
  <si>
    <t>06-R1</t>
  </si>
  <si>
    <t>Monthly Fee For: 6 April 2022</t>
  </si>
  <si>
    <t>Monthly Fee For: 6 October 2022</t>
  </si>
  <si>
    <t>20-011-DXB</t>
  </si>
  <si>
    <t>Res. Villa for Mr. Amer Al Ahrari- ID</t>
  </si>
  <si>
    <t>Additional Supervision Fee</t>
  </si>
  <si>
    <t>Addl ID Supervision Fee for 2 Months</t>
  </si>
  <si>
    <t>20-015-KSA</t>
  </si>
  <si>
    <t>Villa Mamdooh Alsedairy</t>
  </si>
  <si>
    <t>Architecture &amp; Engineering</t>
  </si>
  <si>
    <t>Open Invoiced</t>
  </si>
  <si>
    <t>20-017-DXB</t>
  </si>
  <si>
    <t>Res. Villa for Ellington Properties - Palm Villa N35</t>
  </si>
  <si>
    <t>Basement</t>
  </si>
  <si>
    <t>Cancelled</t>
  </si>
  <si>
    <t>20-022-DXB</t>
  </si>
  <si>
    <t>Res. Compound for Al Hussaini Family - Ms. Shefa Villa</t>
  </si>
  <si>
    <t>Arch &amp; Engg Fee Increase/Decrease</t>
  </si>
  <si>
    <t>Design Changes</t>
  </si>
  <si>
    <t>as per Exhibit B</t>
  </si>
  <si>
    <t>02-R1</t>
  </si>
  <si>
    <t>Open Not Invoiced</t>
  </si>
  <si>
    <t>Signed, not invoiced</t>
  </si>
  <si>
    <t>Addl Fee for BUA incrase</t>
  </si>
  <si>
    <t>as per Exhibit A</t>
  </si>
  <si>
    <t>Supervision Fee</t>
  </si>
  <si>
    <t>20-025-KSA</t>
  </si>
  <si>
    <t xml:space="preserve"> Marasi Al Khobar - Retal</t>
  </si>
  <si>
    <t>Masterplan Basic Revit Model</t>
  </si>
  <si>
    <t>Masterplan 3DS Max</t>
  </si>
  <si>
    <t xml:space="preserve"> Architecture</t>
  </si>
  <si>
    <t>01-R2</t>
  </si>
  <si>
    <t>Schematic Stage</t>
  </si>
  <si>
    <t>Cocept Arch &amp; Engineering Review</t>
  </si>
  <si>
    <t>03-R2</t>
  </si>
  <si>
    <t>21-026-KSA</t>
  </si>
  <si>
    <t>Al Kadi Mixed Use Development</t>
  </si>
  <si>
    <t>Masterplan</t>
  </si>
  <si>
    <t>Arch. Concept Redesign</t>
  </si>
  <si>
    <t>To be invoiced upon PM instructions</t>
  </si>
  <si>
    <t>Phase 1</t>
  </si>
  <si>
    <t>Phase 2</t>
  </si>
  <si>
    <t>04-R2</t>
  </si>
  <si>
    <t>Design Changes in SD</t>
  </si>
  <si>
    <t>20-030-DXB</t>
  </si>
  <si>
    <t>Res. Villa for Mr. Mohammed Lootah</t>
  </si>
  <si>
    <t>Open</t>
  </si>
  <si>
    <t>20-031-DXB</t>
  </si>
  <si>
    <t>Res. Villa for Mr. Ali Al Zarooni</t>
  </si>
  <si>
    <t>Interior Design Changes</t>
  </si>
  <si>
    <t>20-033-DXB</t>
  </si>
  <si>
    <t>Res. Compound for Al Hussaini Family - Mr. Rashid Villa</t>
  </si>
  <si>
    <t>closed</t>
  </si>
  <si>
    <t>Fee for Redesign</t>
  </si>
  <si>
    <t>20-034-DXB</t>
  </si>
  <si>
    <t>Res. Compound for Al Hussaini Family – Mr. Abu Baker Villa</t>
  </si>
  <si>
    <t>20-035-DXB</t>
  </si>
  <si>
    <t>Res. Compound for Al Hussaini Family – Mr. Mohamed Villa</t>
  </si>
  <si>
    <t>Parking Modification</t>
  </si>
  <si>
    <t>20-036-DXB</t>
  </si>
  <si>
    <t>Res. Compound for Al Hussaini Family – Arwa Villa</t>
  </si>
  <si>
    <t>Monthly Arch, MEP &amp; ID Sup. Fee 12 Months</t>
  </si>
  <si>
    <t>Arch and Engineering</t>
  </si>
  <si>
    <t>Lupmsum</t>
  </si>
  <si>
    <t>20-037-DXB</t>
  </si>
  <si>
    <t>Res. Compound for Al Hussaini Family –  Mr. Ahmed Villa</t>
  </si>
  <si>
    <t>Design Change</t>
  </si>
  <si>
    <t>20-038-DXB</t>
  </si>
  <si>
    <t xml:space="preserve"> Private Luxury Residence for Mazaya Property</t>
  </si>
  <si>
    <t>Sustainable Strategies</t>
  </si>
  <si>
    <t>External Kitchen Specialist</t>
  </si>
  <si>
    <t>Kitchen Specialist Fee</t>
  </si>
  <si>
    <t>Interior Design Services</t>
  </si>
  <si>
    <t>ID &amp; FF&amp;E Services</t>
  </si>
  <si>
    <t>FF&amp;E Supervision Services for 3 months</t>
  </si>
  <si>
    <t>Additional Fee for Pre-contract</t>
  </si>
  <si>
    <t>Additional Fee for Supervision</t>
  </si>
  <si>
    <t>20-039-DXB</t>
  </si>
  <si>
    <t>Res. Compound for Al Hussaini Family - Common Majlis</t>
  </si>
  <si>
    <t>Fee for Services</t>
  </si>
  <si>
    <t xml:space="preserve">Amount is not right ,  have to recheck it  </t>
  </si>
  <si>
    <t>20-040-DXB</t>
  </si>
  <si>
    <t xml:space="preserve">Local Senior citizens club </t>
  </si>
  <si>
    <t>Design Services Addl. Fee</t>
  </si>
  <si>
    <t>Structural Design Services</t>
  </si>
  <si>
    <t>Supervision Services Addl. Fee</t>
  </si>
  <si>
    <t>Mosque Design &amp; Supervision Fee</t>
  </si>
  <si>
    <t>20-041-AUH</t>
  </si>
  <si>
    <t xml:space="preserve"> Res. Villa for Mr. Abdulla Al Hammadi</t>
  </si>
  <si>
    <t>Arch. &amp; Eng Fee Increase</t>
  </si>
  <si>
    <t xml:space="preserve">20-042-AUH </t>
  </si>
  <si>
    <t>Res. Villa for Mr. Hazem Al Nowais</t>
  </si>
  <si>
    <t>Supervision Fee Increase</t>
  </si>
  <si>
    <t>Supervision Rate</t>
  </si>
  <si>
    <t>Site Change</t>
  </si>
  <si>
    <t>20P114</t>
  </si>
  <si>
    <t>DXB Res. Villas for Mr. Mohamed Abdulrahim Al Ali</t>
  </si>
  <si>
    <t>Structural Design Review</t>
  </si>
  <si>
    <t xml:space="preserve">21-005-DXB </t>
  </si>
  <si>
    <t>Res. Villa for Ellington Properties - Palm Villa N29A</t>
  </si>
  <si>
    <t>DXB Res. Villa for Ellington Properties - Palm Villa N29A</t>
  </si>
  <si>
    <t xml:space="preserve"> Fee for Plot N29A for AE</t>
  </si>
  <si>
    <t>Special Approval From Authorities</t>
  </si>
  <si>
    <t>21-007-DXB</t>
  </si>
  <si>
    <t xml:space="preserve"> Res. Villa for Ellington Properties - Palm Villa N31A</t>
  </si>
  <si>
    <t>Terminated</t>
  </si>
  <si>
    <t xml:space="preserve"> Fee for Plot N31A for AE</t>
  </si>
  <si>
    <t>Net Increase Fee</t>
  </si>
  <si>
    <t>Revised Design Fee</t>
  </si>
  <si>
    <t>Increase in Fee from Original Value</t>
  </si>
  <si>
    <t>Special approval from authorirties</t>
  </si>
  <si>
    <t>21-008-DXB</t>
  </si>
  <si>
    <t xml:space="preserve"> Res. Villa for Ellington Properties - Palm Villa N31B</t>
  </si>
  <si>
    <t>Revised Design Fee for AE</t>
  </si>
  <si>
    <t>Removal of basement</t>
  </si>
  <si>
    <t>21-012-DXB</t>
  </si>
  <si>
    <t xml:space="preserve"> Res. Villa for Mr. Walid Thabet</t>
  </si>
  <si>
    <t>Design Changes in Basement</t>
  </si>
  <si>
    <t>Awaiting customer signature</t>
  </si>
  <si>
    <t>21-018-KSA</t>
  </si>
  <si>
    <t>Riyadh Township Phase 1B</t>
  </si>
  <si>
    <t>Second Façade Options</t>
  </si>
  <si>
    <t>Infra Design Changes</t>
  </si>
  <si>
    <t>Provion of  Chargers</t>
  </si>
  <si>
    <t>Change in Maid Bathroom</t>
  </si>
  <si>
    <t>Changes in Kitchen</t>
  </si>
  <si>
    <t>Signages Addl. Fee</t>
  </si>
  <si>
    <t xml:space="preserve">Imam &amp; Moathen Units </t>
  </si>
  <si>
    <t>Technical Assistance for 1 week, 2 persons</t>
  </si>
  <si>
    <t xml:space="preserve">21-019-DXB </t>
  </si>
  <si>
    <t>Res. Villa for Ellington Properties - Palm Villa H09A</t>
  </si>
  <si>
    <t>Net Increase in Fee</t>
  </si>
  <si>
    <t xml:space="preserve">21-020-DXB </t>
  </si>
  <si>
    <t>Res. Villa for Ellington Properties - Palm Villa H09B</t>
  </si>
  <si>
    <t xml:space="preserve">21-022-AUH </t>
  </si>
  <si>
    <t>Res. Villa for Mrs. Shamma Al Ahbabi</t>
  </si>
  <si>
    <t>Supervision</t>
  </si>
  <si>
    <t>Design Changes instructed at site</t>
  </si>
  <si>
    <t>21-023-DXB</t>
  </si>
  <si>
    <t>Res. Villa for Mr. Ahmed Abdelaal - Palm Villa G15</t>
  </si>
  <si>
    <t>Arch &amp; Engg Addl. Fee for BUA Increase</t>
  </si>
  <si>
    <t>ID Addl. Fee for BUA Increase</t>
  </si>
  <si>
    <t>Design Changes Fee</t>
  </si>
  <si>
    <t xml:space="preserve">21-031-DXB </t>
  </si>
  <si>
    <t>Res. Villa for Mr. KHurram Ahmed in MBR</t>
  </si>
  <si>
    <t>Enabling Supervision Monthly Fee</t>
  </si>
  <si>
    <t>21-034-DXB</t>
  </si>
  <si>
    <t>Res. Villa for Mr. Khuram Ahmed- Villa at JGE</t>
  </si>
  <si>
    <t>Negative VO foe SD work</t>
  </si>
  <si>
    <t>21-035-AUH</t>
  </si>
  <si>
    <t>Res. Villa for Mr. Easa Alblooshi</t>
  </si>
  <si>
    <t xml:space="preserve">Struct Design Review </t>
  </si>
  <si>
    <t>Site Supervision per visit</t>
  </si>
  <si>
    <t>21-036-DXB</t>
  </si>
  <si>
    <t>Res. Villa for Mr. Khalid Al Shafar</t>
  </si>
  <si>
    <t>Monthly Arch &amp;  MEP Sup. Fee 18 months</t>
  </si>
  <si>
    <t>Monthly ID supervision Fee 10 months</t>
  </si>
  <si>
    <t>01-R3</t>
  </si>
  <si>
    <t>Monthly Arch-MEP-ID supervision Fee 12 months</t>
  </si>
  <si>
    <t>Supervision Extension</t>
  </si>
  <si>
    <t>FF&amp;E Services - Design &amp; Supervision</t>
  </si>
  <si>
    <t>Supervision extension</t>
  </si>
  <si>
    <t>21-037-AAN</t>
  </si>
  <si>
    <t>Invoiced 50% Variation on 25-7-25</t>
  </si>
  <si>
    <t>21-039-DXB</t>
  </si>
  <si>
    <t xml:space="preserve"> Villas and Townhouses in Palm Jebel Ali</t>
  </si>
  <si>
    <t>Garden Villa Revised Concept Design</t>
  </si>
  <si>
    <t>DXB Villas and Townhouses in Palm Jebel Ali</t>
  </si>
  <si>
    <t>Additional 24 nos. of Renders</t>
  </si>
  <si>
    <t>Garden Villa  Concept Design Additional Fee</t>
  </si>
  <si>
    <t>FF&amp;E Services</t>
  </si>
  <si>
    <t>Additional Design Package</t>
  </si>
  <si>
    <t>Additional 12 nos. of alternate design</t>
  </si>
  <si>
    <t>Pre-contract Stage</t>
  </si>
  <si>
    <t>Villas and Townhouses in Palm Jebel Ali</t>
  </si>
  <si>
    <t>Post-contract Stage</t>
  </si>
  <si>
    <t>Elevation Changes</t>
  </si>
  <si>
    <t>Additional Renders</t>
  </si>
  <si>
    <t>Payable for unused work in Omissions</t>
  </si>
  <si>
    <t>Value of Omissions</t>
  </si>
  <si>
    <t>ID Chnages &amp; Renders</t>
  </si>
  <si>
    <t>Renders</t>
  </si>
  <si>
    <t>09-R1</t>
  </si>
  <si>
    <t>Requested Amount</t>
  </si>
  <si>
    <t>09-R2</t>
  </si>
  <si>
    <t>Re-work resulting from late changes</t>
  </si>
  <si>
    <t>Reduction in cotract sum</t>
  </si>
  <si>
    <t>Addl. Fee</t>
  </si>
  <si>
    <t>21-040-KSA</t>
  </si>
  <si>
    <t xml:space="preserve"> Nesaj town II Development at Riyadh</t>
  </si>
  <si>
    <t>Master Plan</t>
  </si>
  <si>
    <t>Design Modifications</t>
  </si>
  <si>
    <t>Architecture</t>
  </si>
  <si>
    <t>Design Changes (3 Typologies)</t>
  </si>
  <si>
    <t>21-041-DXB</t>
  </si>
  <si>
    <t>Res. Villa for Mr. Emad Azmy - Supervision</t>
  </si>
  <si>
    <t>Revit Model Fee</t>
  </si>
  <si>
    <t>Foundation &amp; Redesign Approvals</t>
  </si>
  <si>
    <t>Arch Dwg review and approvals</t>
  </si>
  <si>
    <t>21-046-KSA</t>
  </si>
  <si>
    <t>Al Khuzam Residential Development</t>
  </si>
  <si>
    <t>M/plan &amp; Lead consultancy Adl Fee</t>
  </si>
  <si>
    <t xml:space="preserve">21-047 KSA </t>
  </si>
  <si>
    <t>Al Obhor Residential Development</t>
  </si>
  <si>
    <t>21-048-DXB</t>
  </si>
  <si>
    <t>Sterling Tower - Omniyat</t>
  </si>
  <si>
    <t>Authority Fee East House</t>
  </si>
  <si>
    <t>Authority Fee West House</t>
  </si>
  <si>
    <t>Supervision Dec 22-Feb 23 East House</t>
  </si>
  <si>
    <t>Supervision Dec 22-Feb 23 West House</t>
  </si>
  <si>
    <t>Supervision Mar 23-Apr 23 West House</t>
  </si>
  <si>
    <t>Supervision Mar 23-Apr 23 Eest House</t>
  </si>
  <si>
    <t>Supervision May 23 West House</t>
  </si>
  <si>
    <t>Supervision May 23 Eest House</t>
  </si>
  <si>
    <t>Supervision June 23 West House</t>
  </si>
  <si>
    <t>Supervision June 23 Eest House</t>
  </si>
  <si>
    <t>Supervision July 23 Eest House</t>
  </si>
  <si>
    <t>21-049-DXB</t>
  </si>
  <si>
    <t>Res.Villa for Mr. Eugene</t>
  </si>
  <si>
    <t>ASMEP</t>
  </si>
  <si>
    <t>ID</t>
  </si>
  <si>
    <t>Architecture &amp; Engg</t>
  </si>
  <si>
    <t>Hard Interior Design</t>
  </si>
  <si>
    <t>White Model</t>
  </si>
  <si>
    <t>Enabling Works Monthly Supervision</t>
  </si>
  <si>
    <t xml:space="preserve">Additional Tender Packages </t>
  </si>
  <si>
    <t>05-R3</t>
  </si>
  <si>
    <t>Paid in full, latest in 1-Apr-26</t>
  </si>
  <si>
    <t>Boundry Wall Design Fee</t>
  </si>
  <si>
    <t>its 40,000 in 18 months total 720,000</t>
  </si>
  <si>
    <t>21-051-DXB</t>
  </si>
  <si>
    <t>Res. Villa for Mr.  Khurram Ahmed Plot B.179 at MBR</t>
  </si>
  <si>
    <t xml:space="preserve">21-058-DXB </t>
  </si>
  <si>
    <t>Res. Villa for Mr. Baydaq Al Jazaeri</t>
  </si>
  <si>
    <t>Spa &amp; Home Theatre ID</t>
  </si>
  <si>
    <t>Extension of Building</t>
  </si>
  <si>
    <t>Design Change &amp; Renders</t>
  </si>
  <si>
    <t>Landscape Design Coordination</t>
  </si>
  <si>
    <t>Design Modification for Prayer Room and Office</t>
  </si>
  <si>
    <t>Design Modification for Basement Gamerom and Salon</t>
  </si>
  <si>
    <t>Render Modifications</t>
  </si>
  <si>
    <t>Massage Room</t>
  </si>
  <si>
    <t>Basement Changes</t>
  </si>
  <si>
    <t>21-059-DXB</t>
  </si>
  <si>
    <t>DXB Res. Villa for Etjar Investment</t>
  </si>
  <si>
    <t>Master Authority Approval</t>
  </si>
  <si>
    <t>Plot Divison Authority Approval</t>
  </si>
  <si>
    <t>21-060-DXB</t>
  </si>
  <si>
    <t>Res. Villa for Mr. Hadi AlHussaini - LD</t>
  </si>
  <si>
    <t>Redesign &amp; Revised Drawings</t>
  </si>
  <si>
    <t xml:space="preserve"> Res. Villa for Mr. Hadi AlHussaini - LD</t>
  </si>
  <si>
    <t>Monthly Supervision Fees for 3 months</t>
  </si>
  <si>
    <t>22-002-DXB</t>
  </si>
  <si>
    <t>DXB Res. Villa for Mr. Saber Alrafi</t>
  </si>
  <si>
    <t>Monthly Supervision Fee (15 months)</t>
  </si>
  <si>
    <t>ID Supervision</t>
  </si>
  <si>
    <t>Bathroom Expansion</t>
  </si>
  <si>
    <t>22-003-DXB</t>
  </si>
  <si>
    <t>Structural Design</t>
  </si>
  <si>
    <t>Supervision Fees</t>
  </si>
  <si>
    <t>Additional Scope of Services</t>
  </si>
  <si>
    <t>Signed by Naga only</t>
  </si>
  <si>
    <t>Nesaj Town Safwa, KSA - Retal</t>
  </si>
  <si>
    <t>Footings Changes (2 Typologies)</t>
  </si>
  <si>
    <t>Concept Redesign</t>
  </si>
  <si>
    <t>Vo signed by Naga only</t>
  </si>
  <si>
    <t>Cost Impact</t>
  </si>
  <si>
    <t>KSA Res. Beach house for Nesaj</t>
  </si>
  <si>
    <t>Fee eor Design Changes</t>
  </si>
  <si>
    <t>22-018-KSA</t>
  </si>
  <si>
    <t>Renders and Elevation Design</t>
  </si>
  <si>
    <t>Additional MEP Design</t>
  </si>
  <si>
    <t>22-020-DXB</t>
  </si>
  <si>
    <t xml:space="preserve"> Dubai Maritime City Res. Dev. 2 - Omniyat</t>
  </si>
  <si>
    <t>Surveys</t>
  </si>
  <si>
    <t>DXB Dubai Maritime City Res. Dev. 2 - Omniyat</t>
  </si>
  <si>
    <t>FLS</t>
  </si>
  <si>
    <t>Concept Design addl. Works</t>
  </si>
  <si>
    <t>Addl efforts at SD &amp; Tender Fee</t>
  </si>
  <si>
    <t>ID for TH &amp; Penthouses</t>
  </si>
  <si>
    <t>Wind Tunnel Study</t>
  </si>
  <si>
    <t>Signage Services</t>
  </si>
  <si>
    <t>Façade Services</t>
  </si>
  <si>
    <t>Façade Access</t>
  </si>
  <si>
    <t>Vertical Transportation Services</t>
  </si>
  <si>
    <t>Traffic Impact Study</t>
  </si>
  <si>
    <t>Swimming Pool Specialist Services</t>
  </si>
  <si>
    <t xml:space="preserve">Renderings </t>
  </si>
  <si>
    <t>Sales Gallery</t>
  </si>
  <si>
    <t>Specialist Security Services</t>
  </si>
  <si>
    <t>Fire and Life Safetyn</t>
  </si>
  <si>
    <t>Green Building Services</t>
  </si>
  <si>
    <t>ID CD stage</t>
  </si>
  <si>
    <t>16-R1</t>
  </si>
  <si>
    <t>16-R2</t>
  </si>
  <si>
    <t>Marketing Plans</t>
  </si>
  <si>
    <t>Villas Design</t>
  </si>
  <si>
    <t>18-R3</t>
  </si>
  <si>
    <t>19-R4</t>
  </si>
  <si>
    <t>Additional Areas &amp; Efforts in ID</t>
  </si>
  <si>
    <t>20-R1</t>
  </si>
  <si>
    <t>Revit Model Handover</t>
  </si>
  <si>
    <t>Demarcation Revision</t>
  </si>
  <si>
    <t>Facade Engineering Facade Access</t>
  </si>
  <si>
    <t>22-R1</t>
  </si>
  <si>
    <t>23-R1</t>
  </si>
  <si>
    <t>Value Engineering</t>
  </si>
  <si>
    <t>Acoustics Design Services</t>
  </si>
  <si>
    <t>22-021-DXB</t>
  </si>
  <si>
    <t>Residential Villa Renovation Design - ENI</t>
  </si>
  <si>
    <t>Drainage Design Changes</t>
  </si>
  <si>
    <t>Suoervision Extension</t>
  </si>
  <si>
    <t>22-022-DXB</t>
  </si>
  <si>
    <t>Architecture &amp; Engg Addl. Fee | BUA Changes</t>
  </si>
  <si>
    <t>ID Services</t>
  </si>
  <si>
    <t>Additional Services</t>
  </si>
  <si>
    <t>Additional Services | Review of BOQ</t>
  </si>
  <si>
    <t>22-024-DXB</t>
  </si>
  <si>
    <t>Fee for revised concept design</t>
  </si>
  <si>
    <t>Design Splendor</t>
  </si>
  <si>
    <t>On hold</t>
  </si>
  <si>
    <t>Concept Design Refinement</t>
  </si>
  <si>
    <t>23-029-DXB</t>
  </si>
  <si>
    <t>ASMEP and ID Fee Increase</t>
  </si>
  <si>
    <t>22-030-DXB</t>
  </si>
  <si>
    <t>22-031-DXB</t>
  </si>
  <si>
    <t xml:space="preserve"> Residential Villa for Mr.Suhail Rashed Al Qubasi</t>
  </si>
  <si>
    <t>Architecture &amp; Eng Addl. Fee</t>
  </si>
  <si>
    <t>22-032-DXB</t>
  </si>
  <si>
    <t>Basement ID Design</t>
  </si>
  <si>
    <t>Deletion of Landscape for Villa 1 &amp; Villa 2</t>
  </si>
  <si>
    <t>Awaiting Customer Signature</t>
  </si>
  <si>
    <t xml:space="preserve"> Royal Villa &amp; Majlis at Jebel Jais</t>
  </si>
  <si>
    <t>Additional Kitchen Area Fee</t>
  </si>
  <si>
    <t>Soil Investigation work Fee</t>
  </si>
  <si>
    <t>Pergola Additional Work</t>
  </si>
  <si>
    <t>On Hold</t>
  </si>
  <si>
    <t>Signed not invoiced</t>
  </si>
  <si>
    <t>Royal Villa Addl. Fee</t>
  </si>
  <si>
    <t>Majils Compound Addl. Fee</t>
  </si>
  <si>
    <t>004-R1</t>
  </si>
  <si>
    <t>BUA Changes</t>
  </si>
  <si>
    <t>SPA &amp; Pools Eng Design</t>
  </si>
  <si>
    <t>Kitchen Specialist</t>
  </si>
  <si>
    <t>Kitchen Redesign</t>
  </si>
  <si>
    <t>Topographical Survey</t>
  </si>
  <si>
    <t>Topographical Survey using Drone Techniques</t>
  </si>
  <si>
    <t>22-036-DXB</t>
  </si>
  <si>
    <t xml:space="preserve"> Res. Villa Renovation for Mr. Lalit Taurani</t>
  </si>
  <si>
    <t>To be submitted to client</t>
  </si>
  <si>
    <t>23-007-KSA</t>
  </si>
  <si>
    <t>Additional Type E</t>
  </si>
  <si>
    <t>Additional Contract Documents</t>
  </si>
  <si>
    <t>23-008-KSA</t>
  </si>
  <si>
    <t>KSA Res. Villas &amp; Building for Obhor - NHC</t>
  </si>
  <si>
    <t>23-010-KSA</t>
  </si>
  <si>
    <t>KSA MP Design for Al Azizia - NHC</t>
  </si>
  <si>
    <t>Geotechnical  Work</t>
  </si>
  <si>
    <t>Paid in full , also TBC with finance as the amount was higher</t>
  </si>
  <si>
    <t>23-011-DXB</t>
  </si>
  <si>
    <t>Building Permits</t>
  </si>
  <si>
    <t>Community  Mosque</t>
  </si>
  <si>
    <t>23-014-KSA</t>
  </si>
  <si>
    <t xml:space="preserve"> Hospitality Design for Al-Dhaib Hotel</t>
  </si>
  <si>
    <t>Rework Design Services</t>
  </si>
  <si>
    <t>Net Additional Payment</t>
  </si>
  <si>
    <t>23-020-KSA</t>
  </si>
  <si>
    <t xml:space="preserve"> Design Services for Nesaj Town Asala - Retal</t>
  </si>
  <si>
    <t>Revised Masterplan Design</t>
  </si>
  <si>
    <t>Contract Document</t>
  </si>
  <si>
    <t>23-022-AUH</t>
  </si>
  <si>
    <t>Fee for Additional BUA</t>
  </si>
  <si>
    <t>23-023-EGY</t>
  </si>
  <si>
    <t>Additional Payment</t>
  </si>
  <si>
    <t>23-032-AUH</t>
  </si>
  <si>
    <t xml:space="preserve"> Res. Villa for Mr. Khaled Al Hashemi</t>
  </si>
  <si>
    <t>Architecture Design Addle Fee</t>
  </si>
  <si>
    <t>Structure Design Fee</t>
  </si>
  <si>
    <t>MEP Services</t>
  </si>
  <si>
    <t>23-036-AUH</t>
  </si>
  <si>
    <t xml:space="preserve"> Consultancy Service for Al Fahid Terra Villas and Townhouses - Al Dar</t>
  </si>
  <si>
    <t>Geotechnical (Phase 1)</t>
  </si>
  <si>
    <t>Geotechnical (Phase 1) and Geotechnical Investigation</t>
  </si>
  <si>
    <t>Geotechnical and Geophysical Survey</t>
  </si>
  <si>
    <t>To be submitted to client upon instructions</t>
  </si>
  <si>
    <t>Smart Home, Lighting, Façade</t>
  </si>
  <si>
    <t>Smart Home, Façade</t>
  </si>
  <si>
    <t>Signed</t>
  </si>
  <si>
    <t>To be invoiced upon instructions</t>
  </si>
  <si>
    <t>Sustainability</t>
  </si>
  <si>
    <t>Radial Plot Typologies</t>
  </si>
  <si>
    <t>West Zone Typologies</t>
  </si>
  <si>
    <t>Life Cycle Costing</t>
  </si>
  <si>
    <t>Voided / To be submitted to client upon instructions</t>
  </si>
  <si>
    <t>Additional Fee for Non Resi Bldgs including ID &amp; Specialist</t>
  </si>
  <si>
    <t xml:space="preserve">Geotechnical Services </t>
  </si>
  <si>
    <t>Third Party Geotech Study</t>
  </si>
  <si>
    <t xml:space="preserve">Mock-Up Work Supervision </t>
  </si>
  <si>
    <t>ID Services for Premium Villas</t>
  </si>
  <si>
    <t>Mock-Up Work Supervision Villa and Apartment</t>
  </si>
  <si>
    <t>Typical Plots Villas and Desert Theme Landscape</t>
  </si>
  <si>
    <t>Additional Fee for NonResi Bldgs incl. ID &amp; Specialist</t>
  </si>
  <si>
    <t>Life Guard Station</t>
  </si>
  <si>
    <t>Rework for Turner and Townsend</t>
  </si>
  <si>
    <t>23-040-AUH</t>
  </si>
  <si>
    <t xml:space="preserve"> Res. Villa for Mrs. Noora Al Blooki</t>
  </si>
  <si>
    <t>Kitchen Design</t>
  </si>
  <si>
    <t>24-002-AUH</t>
  </si>
  <si>
    <t xml:space="preserve"> Al Haffar Villas Development - AL DAR</t>
  </si>
  <si>
    <t>Additional Villa Design</t>
  </si>
  <si>
    <t>AUH Al Haffar Villas Development - AL DAR</t>
  </si>
  <si>
    <t>Additional 6BR Villa Design</t>
  </si>
  <si>
    <t>Additional Villa Design
(3 Bedroom &amp; 4 bedroom Typologies)</t>
  </si>
  <si>
    <t>Additional 3 BR Type 2</t>
  </si>
  <si>
    <t>24-003-DXB</t>
  </si>
  <si>
    <t xml:space="preserve"> Res. Villa for Mr. Binayak Dutta - NS</t>
  </si>
  <si>
    <t>Level Survey</t>
  </si>
  <si>
    <t>Res. Villa for Mr. Binayak Dutta - NS</t>
  </si>
  <si>
    <t>Res. Villa for Mr. Hussain M. Jameel - ALJ</t>
  </si>
  <si>
    <t>Landscape Works</t>
  </si>
  <si>
    <t xml:space="preserve">Invoiced only 70% and paid, remaining 54000 to be invoiced </t>
  </si>
  <si>
    <t xml:space="preserve"> Consultancy Service for Sheikh Fawaz Al Hokeir Compound</t>
  </si>
  <si>
    <t>Travel Expenses</t>
  </si>
  <si>
    <t>Awaiting client approval</t>
  </si>
  <si>
    <t>Schematic Design Services</t>
  </si>
  <si>
    <t>Concept &amp; Schematic Design Services</t>
  </si>
  <si>
    <t>02-R4</t>
  </si>
  <si>
    <t>24-009-DXB</t>
  </si>
  <si>
    <t>Community Mosque - Lead Design – Emaar</t>
  </si>
  <si>
    <t>Design Changes in SD Stage</t>
  </si>
  <si>
    <t>24-009-DXB Community Mosque - Lead Design – Emaar</t>
  </si>
  <si>
    <t>24-010</t>
  </si>
  <si>
    <t>KSA Masterplan &amp; Concept Design - Al Thamama</t>
  </si>
  <si>
    <t>Survey Work</t>
  </si>
  <si>
    <t>cancelled</t>
  </si>
  <si>
    <t xml:space="preserve">24-016-DXB </t>
  </si>
  <si>
    <t>2R1</t>
  </si>
  <si>
    <t>Gate Level and Geotechnical Survey</t>
  </si>
  <si>
    <t>2 R1</t>
  </si>
  <si>
    <t xml:space="preserve">24-019-DXB </t>
  </si>
  <si>
    <t>Res. Villa for Ms. Thulasi Sudhakaran</t>
  </si>
  <si>
    <t>Enabling Work and Main Works Supervision</t>
  </si>
  <si>
    <t>24-022-DXB</t>
  </si>
  <si>
    <t xml:space="preserve"> Consultancy Service - J2004 Jumeirah Golf Estate Phase2 - Wasl</t>
  </si>
  <si>
    <t>Design Report &amp; Animation</t>
  </si>
  <si>
    <t>CGI 3 Arial Views</t>
  </si>
  <si>
    <t>24-030-DXB</t>
  </si>
  <si>
    <t xml:space="preserve"> Res. Building for Hacienda Real Estate</t>
  </si>
  <si>
    <t>Level Survey Works</t>
  </si>
  <si>
    <t>Geotechnical and Geophysical Work</t>
  </si>
  <si>
    <t>Lighting Services</t>
  </si>
  <si>
    <t>Signage and Wayfinding</t>
  </si>
  <si>
    <t>Swimming Pool MEP Design</t>
  </si>
  <si>
    <t>Security</t>
  </si>
  <si>
    <t>10-R1</t>
  </si>
  <si>
    <t>Rendering</t>
  </si>
  <si>
    <t xml:space="preserve">24-034-AUH </t>
  </si>
  <si>
    <t>Al Amrah Facades Design - Al Dar</t>
  </si>
  <si>
    <t>AUH Al Amrah Facades Design - Al Dar</t>
  </si>
  <si>
    <t>VO is not signed yet, this VO amount was included in agreement 176K+148K=324,800</t>
  </si>
  <si>
    <t>24-035-DXB</t>
  </si>
  <si>
    <t>DXB ID works at Festival Tower - Al-Futtaim</t>
  </si>
  <si>
    <t>Verification of Slabs</t>
  </si>
  <si>
    <t>FLS,ELV &amp; Acoustics</t>
  </si>
  <si>
    <t>Concept Design Rework</t>
  </si>
  <si>
    <t>24-036-DXB</t>
  </si>
  <si>
    <t xml:space="preserve"> Villas Al Khuzam District - DHB</t>
  </si>
  <si>
    <t>Additional renders</t>
  </si>
  <si>
    <t>Additional Works | New Elevation Design, Minor Layout Adjusment &amp; Revised Layout</t>
  </si>
  <si>
    <t>3 Typologies Design/ Omissions</t>
  </si>
  <si>
    <t>NHC package for 3 typologies</t>
  </si>
  <si>
    <t>Masterplan Design Change</t>
  </si>
  <si>
    <t xml:space="preserve">24-041-KSA </t>
  </si>
  <si>
    <t>Consultancy Service for Al-Mashriqiya - Osus</t>
  </si>
  <si>
    <t>Kafrawy</t>
  </si>
  <si>
    <t>Concept and Interior Design Mock up</t>
  </si>
  <si>
    <t>Aerial Shots</t>
  </si>
  <si>
    <t>24-042-DXB</t>
  </si>
  <si>
    <t xml:space="preserve"> Consultancy Services for Luxury Mansions - Lead Development</t>
  </si>
  <si>
    <t xml:space="preserve">Additional Works </t>
  </si>
  <si>
    <t>24-046</t>
  </si>
  <si>
    <t>RAK ULB Renovation at Al Marjan Island – Uniestate</t>
  </si>
  <si>
    <t>3D Video</t>
  </si>
  <si>
    <t>24-048-KSA</t>
  </si>
  <si>
    <t xml:space="preserve"> Design Services for Dhahran &amp; Al Bashaer - Al Tatweer Al Shamel</t>
  </si>
  <si>
    <t>Specialist Services by Subcons</t>
  </si>
  <si>
    <t>Additional masterplan</t>
  </si>
  <si>
    <t>24-051-KSA</t>
  </si>
  <si>
    <t xml:space="preserve"> Consultancy Service for Jabeen - Sadara Units - Retal</t>
  </si>
  <si>
    <t>Additional Services | BUA Schedule</t>
  </si>
  <si>
    <t>Elevations-3 Typology</t>
  </si>
  <si>
    <t>Revised Layouts and Elevations</t>
  </si>
  <si>
    <t>3 Aerial View for Master Plan</t>
  </si>
  <si>
    <t>3D Design</t>
  </si>
  <si>
    <t>24-053-LY</t>
  </si>
  <si>
    <t xml:space="preserve"> Pre-concept Master plan Jalyanah Business Center</t>
  </si>
  <si>
    <t>Marketing material</t>
  </si>
  <si>
    <t>24-061-KSA</t>
  </si>
  <si>
    <t>KSA Consultancy Service for Rua El Madina - Al-Rajhi</t>
  </si>
  <si>
    <t>Site Visit Expenses</t>
  </si>
  <si>
    <t>24-033</t>
  </si>
  <si>
    <t>DXB Design Services - Res. Villa at Palm Jumeirah - HOME LIVING</t>
  </si>
  <si>
    <t>01-Rev 1</t>
  </si>
  <si>
    <t>Not yet in supervision</t>
  </si>
  <si>
    <t xml:space="preserve">VO during construction </t>
  </si>
  <si>
    <t>24-027-AUH</t>
  </si>
  <si>
    <t xml:space="preserve">TPI Gas Installation </t>
  </si>
  <si>
    <t>To be invoiced</t>
  </si>
  <si>
    <t>25-001</t>
  </si>
  <si>
    <t>KSA Consultancy Service for AlFurzan 2 Zone 5 Villas - Dar Al Majeed</t>
  </si>
  <si>
    <t>Negative Contract Documents</t>
  </si>
  <si>
    <t>23-025</t>
  </si>
  <si>
    <t>RAK Res. Villas for Sheikh Omar AlQasemi</t>
  </si>
  <si>
    <t>Soil Investiigation &amp; Level Survey Services</t>
  </si>
  <si>
    <t xml:space="preserve"> Design &amp; Supervision for URBAN WALK - Knight Frank</t>
  </si>
  <si>
    <t>Waste Management Services</t>
  </si>
  <si>
    <t>3D Renders</t>
  </si>
  <si>
    <t>24-038-DXB</t>
  </si>
  <si>
    <t>Topographic &amp; Geotechnical Survey Works - Net change in PS</t>
  </si>
  <si>
    <t>2-R1</t>
  </si>
  <si>
    <t>DM Fee</t>
  </si>
  <si>
    <t>Instructions to proceed with stages (3 to 7)</t>
  </si>
  <si>
    <t>3D Model for 6 Bedroom Villa</t>
  </si>
  <si>
    <t>01-Contract 2</t>
  </si>
  <si>
    <t>Material Boards</t>
  </si>
  <si>
    <t>22-014</t>
  </si>
  <si>
    <t>KSA Dewanyah and Mosque For Mr. Saud AlKadi</t>
  </si>
  <si>
    <t>Fee Increase for additional BUA</t>
  </si>
  <si>
    <t>On-Hold</t>
  </si>
  <si>
    <t>25-010</t>
  </si>
  <si>
    <t>LY Consultancy Service for Julyana Disctrict</t>
  </si>
  <si>
    <t>Additional Works for Geotechnical Investigation</t>
  </si>
  <si>
    <t>Gate and Fence Design</t>
  </si>
  <si>
    <t>Not approved, work didn't commence</t>
  </si>
  <si>
    <t>KSA Design Services for Res. Villa 179 - Dar Al Majeed</t>
  </si>
  <si>
    <t>Architectural engineering, Interior and Landscape Design from Schematic - IFC</t>
  </si>
  <si>
    <t>Follow up with client</t>
  </si>
  <si>
    <t xml:space="preserve"> Consultancy Services for Block F - CBD Phase 2 - Al Jada</t>
  </si>
  <si>
    <t>Sustainability Services by AESG</t>
  </si>
  <si>
    <t>24-013-AUH</t>
  </si>
  <si>
    <t xml:space="preserve"> Res. Villas for Mr. Hamad Al Blooki</t>
  </si>
  <si>
    <t>Soil Investigation &amp; Geophysical Study</t>
  </si>
  <si>
    <t>On hold due to agreement / under discussion with client</t>
  </si>
  <si>
    <t>KSA Ewan Al Khuzam - Zone 3 - Retal</t>
  </si>
  <si>
    <t>New Type D Design</t>
  </si>
  <si>
    <t>Revised Type B Masterplan</t>
  </si>
  <si>
    <t>Additional MEP Services</t>
  </si>
  <si>
    <t>Revised Type A1,A2 ,B &amp; Masterplan Type D</t>
  </si>
  <si>
    <t>Villa Typology B Revision</t>
  </si>
  <si>
    <t>25-R1</t>
  </si>
  <si>
    <t>FFE Services</t>
  </si>
  <si>
    <t>06 R1</t>
  </si>
  <si>
    <t>Supervision Services</t>
  </si>
  <si>
    <t>Geotechnical services</t>
  </si>
  <si>
    <t>To be invoiced (converted to contract 3: south villas)</t>
  </si>
  <si>
    <t>Masterplan Modification</t>
  </si>
  <si>
    <t>South Villas
Package 2 - VO.01</t>
  </si>
  <si>
    <t>Masterplan Modification and Public realm, infrastructure with plot , landscape</t>
  </si>
  <si>
    <t>25-049</t>
  </si>
  <si>
    <t>03-Contract 2</t>
  </si>
  <si>
    <t>Soil Investigation works</t>
  </si>
  <si>
    <t>Mock-Up Work Supervision Extension</t>
  </si>
  <si>
    <t>CGI Services</t>
  </si>
  <si>
    <t>11 R1</t>
  </si>
  <si>
    <t>Authority Approval</t>
  </si>
  <si>
    <t>25-R2</t>
  </si>
  <si>
    <t xml:space="preserve"> Masterplan &amp; Concept Design - Al Thamama</t>
  </si>
  <si>
    <t>Animation &amp; CGI</t>
  </si>
  <si>
    <t>Acoustics services by Design Confidence</t>
  </si>
  <si>
    <t>Strata Peer Review</t>
  </si>
  <si>
    <t>24-031-KSA</t>
  </si>
  <si>
    <t>Fursan 03- zone 03 Pre concept Masterplan Analysis</t>
  </si>
  <si>
    <t>Awaiting Retal template to issue VO, last follow up was 12-Jun-26</t>
  </si>
  <si>
    <t>01-R4</t>
  </si>
  <si>
    <t>24-033-DXB</t>
  </si>
  <si>
    <t xml:space="preserve"> Design Services - Res. Villa at Palm Jumeirah - HOME LIVING</t>
  </si>
  <si>
    <t>Building permits for new FLS  package</t>
  </si>
  <si>
    <t>01-R5</t>
  </si>
  <si>
    <t>Pre-concept design of Villas and Townhouses in Westzone</t>
  </si>
  <si>
    <t>10- Sup Ext.01</t>
  </si>
  <si>
    <t>Mock-Up Work Supervision Extension 01</t>
  </si>
  <si>
    <t>01-R6</t>
  </si>
  <si>
    <t>25-049-DXB</t>
  </si>
  <si>
    <t>Material Boards,Rendering &amp; Animation</t>
  </si>
  <si>
    <t>Pending submission upon issuance of the main contract , last reminder sent to client on 9-jun-26</t>
  </si>
  <si>
    <t>Waste Management Services &amp; change in pipelines</t>
  </si>
  <si>
    <t>Pending Signature</t>
  </si>
  <si>
    <t>Master plan modification and two new typologies</t>
  </si>
  <si>
    <t>Pre-Concept for Res.Dev.Roya,Ben Ghazi</t>
  </si>
  <si>
    <t>Rendering and Animation</t>
  </si>
  <si>
    <t>02- Contract 2</t>
  </si>
  <si>
    <t>Increase in deployment of Lead Consultant 's Supervision + Increase Façade Services Deployment of Subconsultant 's Supervision</t>
  </si>
  <si>
    <t>Topographic Survey</t>
  </si>
  <si>
    <t>DXB Res.Villa for Mr. Eugene</t>
  </si>
  <si>
    <t>6-R1</t>
  </si>
  <si>
    <t>1-R1</t>
  </si>
  <si>
    <t>5-R1</t>
  </si>
  <si>
    <t>21-004-DXB</t>
  </si>
  <si>
    <t xml:space="preserve"> Res. Villa for Mr. Mohammad Al Fahim</t>
  </si>
  <si>
    <t>Revised Supervision Fees</t>
  </si>
  <si>
    <t xml:space="preserve">Awaiting customer signature </t>
  </si>
  <si>
    <t>Suoervision Extension till March 2026</t>
  </si>
  <si>
    <t>24-029-KSA Consultancy Services for Dar AlMajeed</t>
  </si>
  <si>
    <t>Redesign for three building typologies -Concept stage</t>
  </si>
  <si>
    <t>Consultancy Service for Sheikh Fawaz Al Hokeir Compound - PUD Consultants</t>
  </si>
  <si>
    <t>Cooling Systems</t>
  </si>
  <si>
    <t>25-031-DXB</t>
  </si>
  <si>
    <t>Awaiting Client Approval</t>
  </si>
  <si>
    <t>3 Aerial View for Master Plan + Adjustments for Type A Villa</t>
  </si>
  <si>
    <t/>
  </si>
  <si>
    <t>04- Contract 2</t>
  </si>
  <si>
    <t>Authority Fees</t>
  </si>
  <si>
    <t>25-032-DXB</t>
  </si>
  <si>
    <t xml:space="preserve"> Design Service for Res. Villa for Mr. Shariq Qadri - Plot 25</t>
  </si>
  <si>
    <t>Third party Structure Review</t>
  </si>
  <si>
    <t>Followed up with Mousa</t>
  </si>
  <si>
    <t>06 R2</t>
  </si>
  <si>
    <t>Pearl 5 Sustainability</t>
  </si>
  <si>
    <t>12-R1</t>
  </si>
  <si>
    <t xml:space="preserve">Renewal of Building permits </t>
  </si>
  <si>
    <t>Foundation Redesign</t>
  </si>
  <si>
    <t>1-R2</t>
  </si>
  <si>
    <t>12- Sup Ext.02</t>
  </si>
  <si>
    <t>Mock-Up Work Supervision Extension 02</t>
  </si>
  <si>
    <t>2-R3</t>
  </si>
  <si>
    <t>4-R1</t>
  </si>
  <si>
    <t>To be invoiced upon PM instructions Supervision</t>
  </si>
  <si>
    <t>Instructions to proceed with Stage 7B</t>
  </si>
  <si>
    <t>Design Changes and CGIs</t>
  </si>
  <si>
    <t>Interior Design fpr additional spaces</t>
  </si>
  <si>
    <t>07 R1</t>
  </si>
  <si>
    <t>1_R1</t>
  </si>
  <si>
    <t>Special Discount for Redesign for three building typologies -Concept stage</t>
  </si>
  <si>
    <t>25-030-DXB</t>
  </si>
  <si>
    <t>Design and Construction Supervision Services for Res.Dvpt.for THCCW – Emaar</t>
  </si>
  <si>
    <t>01-Plot S01</t>
  </si>
  <si>
    <t>Security Services -Plot S01</t>
  </si>
  <si>
    <t>01-Plot S02</t>
  </si>
  <si>
    <t>Security Services -Plot S02</t>
  </si>
  <si>
    <t>Design and Construction Supervision Services for Res.Dvpt.
for THCCW – Emaar</t>
  </si>
  <si>
    <t>01-Plot S03</t>
  </si>
  <si>
    <t>Security Services -Plot S03</t>
  </si>
  <si>
    <t>Pending with PM - the amount is approved and will invoice the VO after SD submission</t>
  </si>
  <si>
    <t>Additional Scope 74  Villas</t>
  </si>
  <si>
    <t>13-Sup Ext 03 R2</t>
  </si>
  <si>
    <t>Mock-Up Work Supervision Extension 03</t>
  </si>
  <si>
    <t>Supervision Extension till June 2026</t>
  </si>
  <si>
    <t xml:space="preserve"> Approved </t>
  </si>
  <si>
    <t>2-R10</t>
  </si>
  <si>
    <t xml:space="preserve">Additional Scope - New Typologies and Masterplan Revisions </t>
  </si>
  <si>
    <t>05 R1</t>
  </si>
  <si>
    <t>25-007-AUH</t>
  </si>
  <si>
    <t>AAN Design Competition for National Housing Communities - IMKAN</t>
  </si>
  <si>
    <t>Design &amp; Technical Documentation :  506,145 AED High-Quality Visualization (12 CGIs): 72,000</t>
  </si>
  <si>
    <t>Signed not invoiced, should be invoiced</t>
  </si>
  <si>
    <t xml:space="preserve">Al Amerah Residential Project (Phase 1) ( Contract 2)- IMKAN </t>
  </si>
  <si>
    <t>1 R1</t>
  </si>
  <si>
    <t>Design Changes &amp; CGIS ( 5% discount)</t>
  </si>
  <si>
    <t>Additional Scope Plot V12</t>
  </si>
  <si>
    <t>Design changes</t>
  </si>
  <si>
    <t>Additional MEP</t>
  </si>
  <si>
    <t>4-R2</t>
  </si>
  <si>
    <t>02-R11</t>
  </si>
  <si>
    <t>Concept &amp; Schematic Design Services
Estraha, Staff housing, facade, LS lighting, swimming pool services, kitchen design services specialist</t>
  </si>
  <si>
    <t>Al Kadi Mosque</t>
  </si>
  <si>
    <t>Mosque Concept</t>
  </si>
  <si>
    <t>3 R1</t>
  </si>
  <si>
    <t xml:space="preserve">Design Changes </t>
  </si>
  <si>
    <t>4 R1</t>
  </si>
  <si>
    <t>Fee Adjustment for Design Changes</t>
  </si>
  <si>
    <t>Animation Services</t>
  </si>
  <si>
    <t>1R1,2,3</t>
  </si>
  <si>
    <t>Design Changes for 3 BR,4 BR,5 BR ,6 BR and CGIs</t>
  </si>
  <si>
    <t>Consultancy Service for Al Fahid Non Resi Buildings-Al Dar</t>
  </si>
  <si>
    <t>Gate House Renders &amp; new design</t>
  </si>
  <si>
    <t>Addl 5BR Unit &amp; Landscape</t>
  </si>
  <si>
    <t>05-R4</t>
  </si>
  <si>
    <t>15 R1</t>
  </si>
  <si>
    <t>10 R1</t>
  </si>
  <si>
    <t xml:space="preserve">Mock-Up Work Supervision Extension </t>
  </si>
  <si>
    <t>10 R2</t>
  </si>
  <si>
    <t>Design Service for Res. Villa for Mr. Shariq Qadri - Plot 25</t>
  </si>
  <si>
    <t xml:space="preserve"> Open </t>
  </si>
  <si>
    <t>02 (Plots S01,S02,S03)</t>
  </si>
  <si>
    <t>Acoustics Services</t>
  </si>
  <si>
    <t>05-R5</t>
  </si>
  <si>
    <t>6-R3</t>
  </si>
  <si>
    <t>15 R2</t>
  </si>
  <si>
    <t>09 R1</t>
  </si>
  <si>
    <t>Rework for piling design for Villas &amp; Townhouses</t>
  </si>
  <si>
    <t>14 R1</t>
  </si>
  <si>
    <t>Gate House Concept and Cluster Identity</t>
  </si>
  <si>
    <t>11 R2</t>
  </si>
  <si>
    <t>Abortive works pertaining to Foundation Redesign at 100% DD</t>
  </si>
  <si>
    <t>2,3</t>
  </si>
  <si>
    <t>"Master Plan Modification &amp; Additional New Typologies (A&amp;B)"</t>
  </si>
  <si>
    <t>24-034-AUH</t>
  </si>
  <si>
    <t>Al Amrah Facades Design AECOM</t>
  </si>
  <si>
    <t>Change notice ( Al Ain Architecture Guidelines Opportunity- AECOM)</t>
  </si>
  <si>
    <t>26-012-KSA</t>
  </si>
  <si>
    <t>Additional Efforts at SD Stage+ Adiitional Fee for Subconsultants</t>
  </si>
  <si>
    <t>Under review by Mr Halaby &amp; Khrepy</t>
  </si>
  <si>
    <t>General Design Reviews</t>
  </si>
  <si>
    <t xml:space="preserve">Under review </t>
  </si>
  <si>
    <t>J2010 JGE Phase 2-South Villas 2 -Wasl</t>
  </si>
  <si>
    <t>TBC</t>
  </si>
  <si>
    <t>30 Sec Animation</t>
  </si>
  <si>
    <t>Pending submission upon issuance of the main contract</t>
  </si>
  <si>
    <t>Awaiting customer signature, last reminder on  9-Jun and the client isa waiting the VO with Wasl format</t>
  </si>
  <si>
    <t>Al Jewan Residential Development - NHC</t>
  </si>
  <si>
    <t>Masterplaning</t>
  </si>
  <si>
    <t xml:space="preserve">Vo Amount is not finalized yet </t>
  </si>
  <si>
    <t>25-034-DXB</t>
  </si>
  <si>
    <t>Design Service for Residential Villas for Al Haffar Development - ALDAR</t>
  </si>
  <si>
    <t>Subcon</t>
  </si>
  <si>
    <t>Status</t>
  </si>
  <si>
    <t>Approval (Finance/Technical)</t>
  </si>
  <si>
    <t>Payment (Finance)</t>
  </si>
  <si>
    <t>20-040</t>
  </si>
  <si>
    <t>YMA</t>
  </si>
  <si>
    <t>Monthly Fee</t>
  </si>
  <si>
    <t xml:space="preserve">Completed </t>
  </si>
  <si>
    <t>21-039</t>
  </si>
  <si>
    <t>C'est Ici</t>
  </si>
  <si>
    <t>21-040</t>
  </si>
  <si>
    <t>KSA Nesaj town II Development at Riyadh</t>
  </si>
  <si>
    <t>APT</t>
  </si>
  <si>
    <t>Lighting System Design</t>
  </si>
  <si>
    <t>21-046</t>
  </si>
  <si>
    <t>Res. Dev at Al Jewan, Riyadh</t>
  </si>
  <si>
    <t>DIORAMA</t>
  </si>
  <si>
    <t>Image Deliverables</t>
  </si>
  <si>
    <t>23-036</t>
  </si>
  <si>
    <t>AUH Consultancy Service for Al Fahid Terra Villas and Townhouses - Al Dar</t>
  </si>
  <si>
    <t>Platinum</t>
  </si>
  <si>
    <t>Sustainability - Estidama&amp;LEED</t>
  </si>
  <si>
    <t>Under Review by Mr. Halaby</t>
  </si>
  <si>
    <t>22-040</t>
  </si>
  <si>
    <t>Passion</t>
  </si>
  <si>
    <t>Hydrology Study of Al-Fursan Neighborhood project.</t>
  </si>
  <si>
    <t>Completed</t>
  </si>
  <si>
    <t xml:space="preserve"> Complete</t>
  </si>
  <si>
    <t>T&amp;T</t>
  </si>
  <si>
    <t>Ramboll</t>
  </si>
  <si>
    <t>Facade Design Work - Value Calculation for Roof</t>
  </si>
  <si>
    <t>Yamoor</t>
  </si>
  <si>
    <t>Yamoor sub</t>
  </si>
  <si>
    <t>DXB Consultancy Service - R1145 Al Quoz Dvlpmnt - Wasl</t>
  </si>
  <si>
    <t>Light Func</t>
  </si>
  <si>
    <t>Lighting Services - DD Stage</t>
  </si>
  <si>
    <t xml:space="preserve"> Pending Review </t>
  </si>
  <si>
    <t>Under Review by Mr. Halaby &amp; Mr. Sujoy</t>
  </si>
  <si>
    <t>25-010 LY</t>
  </si>
  <si>
    <t>El Raeid Engineering Consultants</t>
  </si>
  <si>
    <t>Geotechnical Investigation</t>
  </si>
  <si>
    <t>MCTS</t>
  </si>
  <si>
    <t>Waste Management</t>
  </si>
  <si>
    <t>Pending with Contracts</t>
  </si>
  <si>
    <t>24-006</t>
  </si>
  <si>
    <t>MEP Design Services</t>
  </si>
  <si>
    <t>Revision in Scope of FLS and Acoustcics</t>
  </si>
  <si>
    <t>24-038 DXB</t>
  </si>
  <si>
    <t>Circuit Studio</t>
  </si>
  <si>
    <t>Rendering images</t>
  </si>
  <si>
    <t xml:space="preserve"> Completed </t>
  </si>
  <si>
    <t>Revision in Scope of Cost consultancy services</t>
  </si>
  <si>
    <t>Dezigntechnic</t>
  </si>
  <si>
    <t>Signage &amp; Wayfinding Services - DD Stage</t>
  </si>
  <si>
    <t>Ecobuild</t>
  </si>
  <si>
    <t xml:space="preserve">Sustainability </t>
  </si>
  <si>
    <t>PEC</t>
  </si>
  <si>
    <t xml:space="preserve">Descoping + Additional Control system </t>
  </si>
  <si>
    <t>24-059-KSA</t>
  </si>
  <si>
    <t>Boundary</t>
  </si>
  <si>
    <t>Special Discount</t>
  </si>
  <si>
    <t>Al Turath</t>
  </si>
  <si>
    <t>Traffic Count Collection using Video Cam Methodology &amp; Preparing Report</t>
  </si>
  <si>
    <t>Awaiting SC signature</t>
  </si>
  <si>
    <t>Design Confidence</t>
  </si>
  <si>
    <t>Acoustics</t>
  </si>
  <si>
    <t>Aerial Image</t>
  </si>
  <si>
    <t>In Progress</t>
  </si>
  <si>
    <t>Qualiconsult</t>
  </si>
  <si>
    <t>Security ,ICT,FLS ,Acoustics</t>
  </si>
  <si>
    <t>Supplier</t>
  </si>
  <si>
    <t>Initial Request (PM)</t>
  </si>
  <si>
    <t>Collect 3  Quotations (Procurement)</t>
  </si>
  <si>
    <t>Evaluate the Quotations and share with PM (Procurement)</t>
  </si>
  <si>
    <t>Recommend one of the Quotations (PM)</t>
  </si>
  <si>
    <t>Collect signed Quotation from Sub-Consultant (Contracts)</t>
  </si>
  <si>
    <t>Submit Quotation to Dr. Shams to sign (Contracts)</t>
  </si>
  <si>
    <t>Generate PO (Contracts)</t>
  </si>
  <si>
    <t>Pioneers Laboratory</t>
  </si>
  <si>
    <t>Multi Disciplinary Design and Engineering Services</t>
  </si>
  <si>
    <t>TSSC Kitchen &amp; Laundry Equipment</t>
  </si>
  <si>
    <t>Kitchen and Laundry Services</t>
  </si>
  <si>
    <t>MEP Peer Review and Sustainabilty - Indoor Control</t>
  </si>
  <si>
    <t>Barr+Wray FZE</t>
  </si>
  <si>
    <t>Spa Wet Area and Pools MEP Design Services</t>
  </si>
  <si>
    <t>2pc2pc PMC</t>
  </si>
  <si>
    <t>Conditions of Contract Services</t>
  </si>
  <si>
    <t>DSP Consultants</t>
  </si>
  <si>
    <t>Acoustics and ELV Design Consultancy</t>
  </si>
  <si>
    <t>C&amp;B Consult</t>
  </si>
  <si>
    <t>Specifications</t>
  </si>
  <si>
    <t>Fire Experts</t>
  </si>
  <si>
    <t xml:space="preserve">Fire and Life Safety </t>
  </si>
  <si>
    <t>20-005-DXB</t>
  </si>
  <si>
    <t>National Survey Engineering</t>
  </si>
  <si>
    <t>Delma Laboratory</t>
  </si>
  <si>
    <t>MESE</t>
  </si>
  <si>
    <t xml:space="preserve">20-009-AUH </t>
  </si>
  <si>
    <t>Al Nowais Family Compound</t>
  </si>
  <si>
    <t>Al Warqa Survey Works</t>
  </si>
  <si>
    <t xml:space="preserve">20-010-DXB </t>
  </si>
  <si>
    <t>Res. Villas for DHB Holding- Palm Jumeirah</t>
  </si>
  <si>
    <t>Lighting Design Services</t>
  </si>
  <si>
    <t xml:space="preserve">20-013-DXB </t>
  </si>
  <si>
    <t>Res. Villa for Mr. Khalfan Mohamed Al Mazrouei</t>
  </si>
  <si>
    <t>20-014-DXB</t>
  </si>
  <si>
    <t>Res. Villa for Mr. Rashid Alsheikh</t>
  </si>
  <si>
    <t>Global Soil Investigation Lab</t>
  </si>
  <si>
    <t xml:space="preserve">20-018-DXB </t>
  </si>
  <si>
    <t>Al Fakeeh University Hospital</t>
  </si>
  <si>
    <t>AVM33 FZE</t>
  </si>
  <si>
    <t>Evaluation and Finalization of Variation Orders</t>
  </si>
  <si>
    <t xml:space="preserve">20-021-DXB </t>
  </si>
  <si>
    <t>Res. Villa for Shk. Almualla Bin Ahmed</t>
  </si>
  <si>
    <t xml:space="preserve">20-022-DXB </t>
  </si>
  <si>
    <t>Res. Compound for Al Hussaini Family</t>
  </si>
  <si>
    <t>20-023-KSA</t>
  </si>
  <si>
    <t>Riyadh Res. Community</t>
  </si>
  <si>
    <t>SeaArt Co. Ltd</t>
  </si>
  <si>
    <t>3D Image making Services</t>
  </si>
  <si>
    <t xml:space="preserve">20-038-DXB </t>
  </si>
  <si>
    <t>Private Luxury Residence for Mazaya Property</t>
  </si>
  <si>
    <t>CKP</t>
  </si>
  <si>
    <t>Food Service Laundry and Waste Facilities Design</t>
  </si>
  <si>
    <t>Wejhat Al Khobar - Retal</t>
  </si>
  <si>
    <t>ERSOMS</t>
  </si>
  <si>
    <t>Rendering Services</t>
  </si>
  <si>
    <t xml:space="preserve">20-026-DXB </t>
  </si>
  <si>
    <t>Res. Villa for Ms. AYesha Abdulla</t>
  </si>
  <si>
    <t xml:space="preserve">20-029-DXB </t>
  </si>
  <si>
    <t>Res. Villa for Mr. Mohammad Alameri</t>
  </si>
  <si>
    <t xml:space="preserve">20-030-DXB </t>
  </si>
  <si>
    <t xml:space="preserve">20-031-DXB </t>
  </si>
  <si>
    <t xml:space="preserve">20-040-DXB </t>
  </si>
  <si>
    <t>Local Senior Citizens Club - DHB Holding</t>
  </si>
  <si>
    <t>Capital Survey</t>
  </si>
  <si>
    <t>YMA Engineering Consultants</t>
  </si>
  <si>
    <t>AV &amp; Acoustics, ICT, Security Design</t>
  </si>
  <si>
    <t>Archi Heaven</t>
  </si>
  <si>
    <t>Façade Engineering Services</t>
  </si>
  <si>
    <t>Retail Concepts Design LLC</t>
  </si>
  <si>
    <t>Signage and Wayfinding Service</t>
  </si>
  <si>
    <t>Wimpey Laboratories LLC</t>
  </si>
  <si>
    <t xml:space="preserve">Global Tech </t>
  </si>
  <si>
    <t>LEED BD+C Consultancy Services</t>
  </si>
  <si>
    <t>Specification Material Consultancy Services</t>
  </si>
  <si>
    <t>Acoustics Consultancy</t>
  </si>
  <si>
    <t>Merdif General Maintenance</t>
  </si>
  <si>
    <t>Trial Pit Excavation Services</t>
  </si>
  <si>
    <t>Global Tech</t>
  </si>
  <si>
    <t>Environmental Impact Assessment Report</t>
  </si>
  <si>
    <t>Arab Centre for Engineering Studies</t>
  </si>
  <si>
    <t>Level Survey Works and Soil Investigation Works</t>
  </si>
  <si>
    <t xml:space="preserve">21-002-DXB </t>
  </si>
  <si>
    <t>Res. Villa for Mr. Mohammed Almheiri</t>
  </si>
  <si>
    <t xml:space="preserve">21-003-DXB </t>
  </si>
  <si>
    <t>Res. Villa for Ms. Naeema Faraj Abdulrahim</t>
  </si>
  <si>
    <t>Al Hai &amp; Mukaddam</t>
  </si>
  <si>
    <t>Soil Investigation Works</t>
  </si>
  <si>
    <t>Res. Villa for Mr. Mohammad Al Fahim</t>
  </si>
  <si>
    <t>Al Warqa Survey Engineering</t>
  </si>
  <si>
    <t>Transfast Engineering Laboratory</t>
  </si>
  <si>
    <t xml:space="preserve">21-008-DXB </t>
  </si>
  <si>
    <t>Res. Villa for Ellington Properties - Palm Villa N31B</t>
  </si>
  <si>
    <t>APT Building Engineering Serv.</t>
  </si>
  <si>
    <t>MEP Engineering Services</t>
  </si>
  <si>
    <t xml:space="preserve">21-012-DXB </t>
  </si>
  <si>
    <t>Res. Villa for Mr. Walid Thabet</t>
  </si>
  <si>
    <t>Global Soil Investigation Lab.</t>
  </si>
  <si>
    <t xml:space="preserve">21-018-KSA </t>
  </si>
  <si>
    <t>LET Design</t>
  </si>
  <si>
    <t>Gleeds Gulf Engineering Consultants</t>
  </si>
  <si>
    <t>Cost Consultancy Services</t>
  </si>
  <si>
    <t>Multi Disciplinary Design Services</t>
  </si>
  <si>
    <t>RTC</t>
  </si>
  <si>
    <t>Infrastracture Design and Traffic Impact Study</t>
  </si>
  <si>
    <t>Lifang Vision</t>
  </si>
  <si>
    <t>3D Rendering Services</t>
  </si>
  <si>
    <t>E.Construct FZ LLC</t>
  </si>
  <si>
    <t>C&amp;b Consultants</t>
  </si>
  <si>
    <t>Material Specification Consultancy Tech. Support Services</t>
  </si>
  <si>
    <t xml:space="preserve">21-021-DXB </t>
  </si>
  <si>
    <t>Res. Villa for Ms. Eshita Barua</t>
  </si>
  <si>
    <t>Capital Surveys</t>
  </si>
  <si>
    <t>Structural/MEP Services</t>
  </si>
  <si>
    <t>21-022-AUH</t>
  </si>
  <si>
    <t>Matrix Laboratory</t>
  </si>
  <si>
    <t xml:space="preserve">21-023-DXB </t>
  </si>
  <si>
    <t>Topographic survey</t>
  </si>
  <si>
    <t xml:space="preserve">21-029-DXB </t>
  </si>
  <si>
    <t>Meydan Racecourse District Development</t>
  </si>
  <si>
    <t>TeamE</t>
  </si>
  <si>
    <t xml:space="preserve">21-032-AUH </t>
  </si>
  <si>
    <t>Res. Villas for Mr. Habroush Al Suwaidi</t>
  </si>
  <si>
    <t>Abu Dhabi Laboratory</t>
  </si>
  <si>
    <t>Soil Survey</t>
  </si>
  <si>
    <t>Arab Geotech</t>
  </si>
  <si>
    <t xml:space="preserve">21-033-DXB </t>
  </si>
  <si>
    <t>Res. Villa for Mr. Jérôme de Mallmann</t>
  </si>
  <si>
    <t xml:space="preserve">21-035-AUH </t>
  </si>
  <si>
    <t xml:space="preserve">21-039-DXB </t>
  </si>
  <si>
    <t>C'est Ici Design</t>
  </si>
  <si>
    <t>FF&amp;E services</t>
  </si>
  <si>
    <t xml:space="preserve">21-040-KSA </t>
  </si>
  <si>
    <t>Nesaj Town Riyadh II - Retal</t>
  </si>
  <si>
    <t>ASMEP Services</t>
  </si>
  <si>
    <t>ArchiCGI</t>
  </si>
  <si>
    <t>Level Survey Work</t>
  </si>
  <si>
    <t>Spectrum VIS Lmtd.</t>
  </si>
  <si>
    <t xml:space="preserve">21-045-AUH </t>
  </si>
  <si>
    <t>Res. Villa for Ms. Sara Al Suwaidi</t>
  </si>
  <si>
    <t>Third Party Services Structural Design Review</t>
  </si>
  <si>
    <t xml:space="preserve">21-046-KSA </t>
  </si>
  <si>
    <t>Shanghai Icon Digital tech.</t>
  </si>
  <si>
    <t xml:space="preserve">21-037-AAN </t>
  </si>
  <si>
    <t>Arab Geo</t>
  </si>
  <si>
    <t>Diorama</t>
  </si>
  <si>
    <t>Animation</t>
  </si>
  <si>
    <t>Binyan</t>
  </si>
  <si>
    <t>MasterPlan Film</t>
  </si>
  <si>
    <t>Master Plan Film</t>
  </si>
  <si>
    <t xml:space="preserve">21-049-DXB </t>
  </si>
  <si>
    <t>Villa for Mr. Eugene Mayne</t>
  </si>
  <si>
    <t>Falcon Laboratory</t>
  </si>
  <si>
    <t>Level Survey &amp; Soil Investigation Works</t>
  </si>
  <si>
    <t>21-050-AUH</t>
  </si>
  <si>
    <t>Residential Villa for Mr. Zahran Al ghafri</t>
  </si>
  <si>
    <t>Baynunah Laboratories</t>
  </si>
  <si>
    <t>Phoenix Soil Testing Laboratory</t>
  </si>
  <si>
    <t>Shalalat Group Architects</t>
  </si>
  <si>
    <t>Authority Submission and Interior
Design Detail Design Package Services</t>
  </si>
  <si>
    <t>completed</t>
  </si>
  <si>
    <t>85/hr - 75/day</t>
  </si>
  <si>
    <t xml:space="preserve">22-002-DXB </t>
  </si>
  <si>
    <t>Leve Survey Work</t>
  </si>
  <si>
    <t>APT Building Engineering Services</t>
  </si>
  <si>
    <t xml:space="preserve">22-019-KSA </t>
  </si>
  <si>
    <t>Arkon Engineering Consultants</t>
  </si>
  <si>
    <t>Fire and Life Safety Services</t>
  </si>
  <si>
    <t>AESG-KSA</t>
  </si>
  <si>
    <t>BARAD Fire Protection Engineering Consultant</t>
  </si>
  <si>
    <t xml:space="preserve">22-020-DXB </t>
  </si>
  <si>
    <t>Thomas Bell-Wright</t>
  </si>
  <si>
    <t>Façade Consultancy Services</t>
  </si>
  <si>
    <t>AESG</t>
  </si>
  <si>
    <t>Acoustics Consultancy Services</t>
  </si>
  <si>
    <t>MEP Consultancy Services</t>
  </si>
  <si>
    <t>Signage</t>
  </si>
  <si>
    <t>EME</t>
  </si>
  <si>
    <t>Swimming Pool Specialist</t>
  </si>
  <si>
    <t>Ktech Consultancy</t>
  </si>
  <si>
    <t>Meinhardt</t>
  </si>
  <si>
    <t>Façade Access Services</t>
  </si>
  <si>
    <t>RBA</t>
  </si>
  <si>
    <t xml:space="preserve">22-023-KSA </t>
  </si>
  <si>
    <t xml:space="preserve">22-024-DXB </t>
  </si>
  <si>
    <t>Alturath</t>
  </si>
  <si>
    <t>Gulf</t>
  </si>
  <si>
    <t>Windtech Consultants</t>
  </si>
  <si>
    <t xml:space="preserve">22-030-DXB </t>
  </si>
  <si>
    <t>Umaya</t>
  </si>
  <si>
    <t>Transfast</t>
  </si>
  <si>
    <t xml:space="preserve"> Res Villa for Mrs. Tazmeen Villa 1</t>
  </si>
  <si>
    <t>Soil Investigation Work and Level Survey</t>
  </si>
  <si>
    <t>22-033-DXB</t>
  </si>
  <si>
    <t xml:space="preserve">22-026-KSA </t>
  </si>
  <si>
    <t>DM Enterprise</t>
  </si>
  <si>
    <t>Support Services</t>
  </si>
  <si>
    <t>Ultra Homes Real Estate</t>
  </si>
  <si>
    <t>Project Technical Services</t>
  </si>
  <si>
    <t>3D Animation</t>
  </si>
  <si>
    <t>VisualHouse</t>
  </si>
  <si>
    <t>Crown Home</t>
  </si>
  <si>
    <t>Green Building/Sustainability</t>
  </si>
  <si>
    <t xml:space="preserve">22-031-DXB </t>
  </si>
  <si>
    <t>Leve Survey</t>
  </si>
  <si>
    <t xml:space="preserve">22-035-RAK </t>
  </si>
  <si>
    <t>Al Mawazeen</t>
  </si>
  <si>
    <t>Soil Investigation Work</t>
  </si>
  <si>
    <t>Barr+Wray</t>
  </si>
  <si>
    <t>Spa &amp; Pools Design</t>
  </si>
  <si>
    <t>Falcon</t>
  </si>
  <si>
    <t>Topographical | Drone Lidar  Survey</t>
  </si>
  <si>
    <t xml:space="preserve">22-038-DXB </t>
  </si>
  <si>
    <t xml:space="preserve">22-040-KSA </t>
  </si>
  <si>
    <t>Engineering Consultancy Pump Station</t>
  </si>
  <si>
    <t>Amr Ahmed Ashour - Free lancer</t>
  </si>
  <si>
    <t>Consultancy Services for
2D Modeling using ICM software</t>
  </si>
  <si>
    <t>Luxigon</t>
  </si>
  <si>
    <t>Renderings and Animation</t>
  </si>
  <si>
    <t>Samgeo for Survey Services &amp; Gen. Cont. LLC</t>
  </si>
  <si>
    <t>Brick Visual Solutions</t>
  </si>
  <si>
    <t>kSA Marketing Material for Railway Masterplan - NHC</t>
  </si>
  <si>
    <t>8 Still Images</t>
  </si>
  <si>
    <t>The Boundary</t>
  </si>
  <si>
    <t xml:space="preserve">23-011-DXB </t>
  </si>
  <si>
    <t>2 Minute Animation and 6 Still Images</t>
  </si>
  <si>
    <t>Engineering Consultancy</t>
  </si>
  <si>
    <t>Geolabtech Smart | Smart Group - Tarek Mahmoud Aly</t>
  </si>
  <si>
    <t>Geotechnical Work</t>
  </si>
  <si>
    <t>Freyssinet Menard</t>
  </si>
  <si>
    <t>Geotechnical - CPTs</t>
  </si>
  <si>
    <t>Geotechnical Support</t>
  </si>
  <si>
    <t>23-012-DXB</t>
  </si>
  <si>
    <t>23-017-AUH</t>
  </si>
  <si>
    <t>23-018-KSA</t>
  </si>
  <si>
    <t xml:space="preserve">23-040-AUH </t>
  </si>
  <si>
    <t>Mahmoud Alaa</t>
  </si>
  <si>
    <t xml:space="preserve">23-039-DXB </t>
  </si>
  <si>
    <t>Middle East Survey Engineering</t>
  </si>
  <si>
    <t>Focus Hospitality</t>
  </si>
  <si>
    <t>Kitchen Services</t>
  </si>
  <si>
    <t xml:space="preserve">23-036-AUH </t>
  </si>
  <si>
    <t>Turner &amp; Townsend</t>
  </si>
  <si>
    <t>Cost Consultancy</t>
  </si>
  <si>
    <t>Acoustics Design &amp; FLS Services</t>
  </si>
  <si>
    <t>23-021-DXB</t>
  </si>
  <si>
    <t>Façade Engineering and Façade Access</t>
  </si>
  <si>
    <t>Al Mawazeen Soil Testing</t>
  </si>
  <si>
    <t>Terminus</t>
  </si>
  <si>
    <t>Smart System Consultant</t>
  </si>
  <si>
    <t>Interior Lighting Services</t>
  </si>
  <si>
    <t>23-028-DXB</t>
  </si>
  <si>
    <t>Exterior Lighting Services</t>
  </si>
  <si>
    <t>Eumada</t>
  </si>
  <si>
    <t>ACES</t>
  </si>
  <si>
    <t>Soil Investigation Services</t>
  </si>
  <si>
    <t>Turner and Townsend</t>
  </si>
  <si>
    <t>Emirates Surveying Engineering Services
0556745596</t>
  </si>
  <si>
    <t>Redvertex</t>
  </si>
  <si>
    <t>CGI Renders</t>
  </si>
  <si>
    <t>The Wellness</t>
  </si>
  <si>
    <t xml:space="preserve">Spa Technical Assistance and Wet Area Engineering </t>
  </si>
  <si>
    <t>National Laboratory</t>
  </si>
  <si>
    <t>Geotechnical and Geophysical</t>
  </si>
  <si>
    <t>GTC</t>
  </si>
  <si>
    <t>Geotechnical Study Report</t>
  </si>
  <si>
    <t xml:space="preserve">23-032-AUH </t>
  </si>
  <si>
    <t>NAGA</t>
  </si>
  <si>
    <t>Façade Design Modifications</t>
  </si>
  <si>
    <t>Acoustic</t>
  </si>
  <si>
    <t>Fire and Life Safety</t>
  </si>
  <si>
    <t>Pioneers Lab</t>
  </si>
  <si>
    <t>24-005-KSA</t>
  </si>
  <si>
    <t>Light Function</t>
  </si>
  <si>
    <t>Roar Design Services</t>
  </si>
  <si>
    <t>VTI Global</t>
  </si>
  <si>
    <t>Vertical Transportation</t>
  </si>
  <si>
    <t xml:space="preserve">24-027-AUH </t>
  </si>
  <si>
    <t>EcoBuild Engineering Consultants</t>
  </si>
  <si>
    <t>CRTC Engineering Consultancy</t>
  </si>
  <si>
    <t xml:space="preserve">24-010-KSA </t>
  </si>
  <si>
    <t>BlackOak Global</t>
  </si>
  <si>
    <t>Case Study</t>
  </si>
  <si>
    <t>Hospitality Design for The Peninsula - V08</t>
  </si>
  <si>
    <t>Production of Semi Aerial and Aerial Images</t>
  </si>
  <si>
    <t>Rendering and Animation Services</t>
  </si>
  <si>
    <t>SHE</t>
  </si>
  <si>
    <t>EMAAR TechNologies</t>
  </si>
  <si>
    <t>ICT and AV Design Services</t>
  </si>
  <si>
    <t>ICON</t>
  </si>
  <si>
    <t>Survey Works</t>
  </si>
  <si>
    <t>SAK Decoration Materials</t>
  </si>
  <si>
    <t>CGI and Rendering Services</t>
  </si>
  <si>
    <t>Marketing Material for Fursan 3 - NHC</t>
  </si>
  <si>
    <t>Marketing Materials</t>
  </si>
  <si>
    <t>24-012-AJM</t>
  </si>
  <si>
    <t>Al Asri Engineering Consultant</t>
  </si>
  <si>
    <t>Architects of records</t>
  </si>
  <si>
    <t>3D Animation Services</t>
  </si>
  <si>
    <t>Al Ibtikar Engineering</t>
  </si>
  <si>
    <t>24-016-DXB</t>
  </si>
  <si>
    <t>Ktech Security</t>
  </si>
  <si>
    <t xml:space="preserve">Security Specialist </t>
  </si>
  <si>
    <t>Third Party Structural Consultancy Services</t>
  </si>
  <si>
    <t>Sustainability, FLS, Waste Mngmnt, Acoustics, Façade, Façade Access &amp; Security Services</t>
  </si>
  <si>
    <t xml:space="preserve">24-033-DXB </t>
  </si>
  <si>
    <t>Quadro Project Management</t>
  </si>
  <si>
    <t>Technical Services</t>
  </si>
  <si>
    <t>Façade and Landscape Ligthing Design Services</t>
  </si>
  <si>
    <t>Lifang Vision TechNology Co. Ltd.</t>
  </si>
  <si>
    <t xml:space="preserve">24-038-DXB </t>
  </si>
  <si>
    <t xml:space="preserve"> Consultancy Service - R1145 Al Quoz Dvlpmnt - Wasl</t>
  </si>
  <si>
    <t>Topographic Survey Works</t>
  </si>
  <si>
    <t>VTME Vertical Transport</t>
  </si>
  <si>
    <t>Vertical Trasportation Services</t>
  </si>
  <si>
    <t>24-018-DXB</t>
  </si>
  <si>
    <t>Final Concept Designs-Hemaya Centre-Dubai Police</t>
  </si>
  <si>
    <t>24-029-KSA</t>
  </si>
  <si>
    <t xml:space="preserve">Lighting Design Services  - CD only </t>
  </si>
  <si>
    <t xml:space="preserve">Fire and Life Safety - CD only </t>
  </si>
  <si>
    <t xml:space="preserve">24-030-DXB </t>
  </si>
  <si>
    <t>Security, ICT, FLS &amp; Acoustics</t>
  </si>
  <si>
    <t>Soil Investigation and Level Survey Works</t>
  </si>
  <si>
    <t>TEAM-E</t>
  </si>
  <si>
    <t>Villa Nueva Homes for Design Services</t>
  </si>
  <si>
    <t xml:space="preserve">Visualization Services (CGI) </t>
  </si>
  <si>
    <t xml:space="preserve">24-047-DXB </t>
  </si>
  <si>
    <t>Topographical Survey and Soil Investigation</t>
  </si>
  <si>
    <t>Al Ebdaa Al Fany – CGCE</t>
  </si>
  <si>
    <t>Thobaity Office</t>
  </si>
  <si>
    <t>Hydrological Study</t>
  </si>
  <si>
    <t>Yamer Engineering consulting Co.</t>
  </si>
  <si>
    <t>Future Vision Engineering Co. Ltd.</t>
  </si>
  <si>
    <t>VSL</t>
  </si>
  <si>
    <t>Design Verification of Slabs Due</t>
  </si>
  <si>
    <t>Production of Level View and Aerial Images</t>
  </si>
  <si>
    <t>24-037-KSA</t>
  </si>
  <si>
    <t>Visualization Services (CGI)</t>
  </si>
  <si>
    <t xml:space="preserve">24-013-AUH </t>
  </si>
  <si>
    <t>Res. Villas for Mr. Hamad Al Blooki</t>
  </si>
  <si>
    <t>Soil Investigation Works and Level Survey</t>
  </si>
  <si>
    <t>24-052-LY</t>
  </si>
  <si>
    <t xml:space="preserve">24-022-DXB </t>
  </si>
  <si>
    <t xml:space="preserve">Consultancy Service - J2004 Jumeirah Golf Estate Phase2 - Wasl </t>
  </si>
  <si>
    <t>Nara Studios</t>
  </si>
  <si>
    <t>Animation | Visualization Services</t>
  </si>
  <si>
    <t>Mohamed Talaat</t>
  </si>
  <si>
    <t>LightFunc</t>
  </si>
  <si>
    <t>Lighting Specialist</t>
  </si>
  <si>
    <t>Soil Investigation Report</t>
  </si>
  <si>
    <t>PPS</t>
  </si>
  <si>
    <t>Security Services</t>
  </si>
  <si>
    <t>Al Thurath</t>
  </si>
  <si>
    <t>Traffic Impact/Parking Study</t>
  </si>
  <si>
    <t>Econ</t>
  </si>
  <si>
    <t>Updated Production of Level View and Aerial Images</t>
  </si>
  <si>
    <t>Barker Mohandas</t>
  </si>
  <si>
    <t xml:space="preserve">Dezigntechnic </t>
  </si>
  <si>
    <t>Signage - CD Only</t>
  </si>
  <si>
    <t>DNV</t>
  </si>
  <si>
    <t xml:space="preserve">TPI for Natural Gas Installation </t>
  </si>
  <si>
    <t>Trans Fast Engineering Laboratory</t>
  </si>
  <si>
    <t>Mawazeen Laboratory</t>
  </si>
  <si>
    <t>Geotechnical Survey and Soil Investigation Services</t>
  </si>
  <si>
    <t>Genius Loci</t>
  </si>
  <si>
    <t>Signage CD &amp; SD only</t>
  </si>
  <si>
    <t>NV5</t>
  </si>
  <si>
    <t>Security - CD&amp;DD</t>
  </si>
  <si>
    <t>Waste Management  - CD&amp;DD</t>
  </si>
  <si>
    <t>3DR MODEL MAKING</t>
  </si>
  <si>
    <t>Physical Model</t>
  </si>
  <si>
    <t>Villa Ideas</t>
  </si>
  <si>
    <t>Supply of Mood Boards</t>
  </si>
  <si>
    <t>Production of Eye Level, Aerial Images and Animation</t>
  </si>
  <si>
    <t>24-055-KSA</t>
  </si>
  <si>
    <t>24-056-KSA</t>
  </si>
  <si>
    <t>Marketing Material for Obhor G+15 - BHC</t>
  </si>
  <si>
    <t>24-057-KSA</t>
  </si>
  <si>
    <t>24-058-KSA</t>
  </si>
  <si>
    <t>The Boundary Visualization Limited</t>
  </si>
  <si>
    <t>Marketing Material (Animation) Services</t>
  </si>
  <si>
    <t>24-060-KSA</t>
  </si>
  <si>
    <t xml:space="preserve">24P117-KSA </t>
  </si>
  <si>
    <t>Mekkah Parking Development - Sateaa</t>
  </si>
  <si>
    <t>GTC Soil Analysis Services</t>
  </si>
  <si>
    <t>Geotechnical Consultancy Services</t>
  </si>
  <si>
    <t>Design Service for JGE Phase 2 South Villas-DUSUP Line - Wasl</t>
  </si>
  <si>
    <t>ECON</t>
  </si>
  <si>
    <t>Rendering Images</t>
  </si>
  <si>
    <t>Swimming Pool</t>
  </si>
  <si>
    <t>DEZIGNTECHNIC</t>
  </si>
  <si>
    <t>Geotechnical Investigation Services</t>
  </si>
  <si>
    <t>Visulalization</t>
  </si>
  <si>
    <t>Al Fahidi GasTech</t>
  </si>
  <si>
    <t>Centralized LPG Gas System</t>
  </si>
  <si>
    <t>BiNodah</t>
  </si>
  <si>
    <t xml:space="preserve">25-025-SHJ </t>
  </si>
  <si>
    <t>Façade Engineering &amp; Façade Access Services</t>
  </si>
  <si>
    <t xml:space="preserve">25-046-SHJ </t>
  </si>
  <si>
    <t>Consultancy Services for Block F - CBD Phase 3 - Al Jada</t>
  </si>
  <si>
    <t>CRTC</t>
  </si>
  <si>
    <t>CEC</t>
  </si>
  <si>
    <t>Structure Consultancy Services</t>
  </si>
  <si>
    <t>Dezign Technic</t>
  </si>
  <si>
    <t>Signage and wayfinding</t>
  </si>
  <si>
    <t xml:space="preserve">25-030-DXB </t>
  </si>
  <si>
    <t>Winzen Technical Services LLC</t>
  </si>
  <si>
    <t>Purchasing of Sample Board</t>
  </si>
  <si>
    <t>Security, Parking Manangement &amp; Acoustics</t>
  </si>
  <si>
    <t xml:space="preserve">25-002-KSA </t>
  </si>
  <si>
    <t>Mohamed Emam - Freelancer</t>
  </si>
  <si>
    <t xml:space="preserve"> Proposal Preparation</t>
  </si>
  <si>
    <t xml:space="preserve">25-001-KSA </t>
  </si>
  <si>
    <t xml:space="preserve">25-012-KSA </t>
  </si>
  <si>
    <t xml:space="preserve">25-010-LY </t>
  </si>
  <si>
    <t>El-RAEID ENGINEERING CONSULTANTS</t>
  </si>
  <si>
    <t>Site Survey</t>
  </si>
  <si>
    <t>Geotechnical Expertise</t>
  </si>
  <si>
    <t>WD E&amp;C</t>
  </si>
  <si>
    <t>Geotechnical Investigations</t>
  </si>
  <si>
    <t>Eng. Sameer Aboghalia Company - CSE</t>
  </si>
  <si>
    <t xml:space="preserve">25-014-LY  </t>
  </si>
  <si>
    <t>Masterplan Services for Project A-South Julyana</t>
  </si>
  <si>
    <t xml:space="preserve">25-015-KSA </t>
  </si>
  <si>
    <t>Design Services for Res. Community - InNovo - NHC</t>
  </si>
  <si>
    <t>abdulkarim Abdullah Almansour  for Soil testing  - AAM</t>
  </si>
  <si>
    <t>Geotechnical</t>
  </si>
  <si>
    <t xml:space="preserve">Design Services for Res. Villa 179 - Dar Al Majeed </t>
  </si>
  <si>
    <t>25-034-AUH</t>
  </si>
  <si>
    <t>on hold</t>
  </si>
  <si>
    <t>On Hold till we get the signed agreement</t>
  </si>
  <si>
    <t>Consultancy Service for Retrofitting of the IWWTP - Hoor Alarab</t>
  </si>
  <si>
    <t>Mustafa Abojabal (SLA)</t>
  </si>
  <si>
    <t>Services</t>
  </si>
  <si>
    <t>Marcos Silveira (SLA)</t>
  </si>
  <si>
    <t>Postproduction Services</t>
  </si>
  <si>
    <t xml:space="preserve">Cost Consultancy </t>
  </si>
  <si>
    <t>25-030-(25P140)-DXB</t>
  </si>
  <si>
    <t>Consistent</t>
  </si>
  <si>
    <t>Landscape Lighting</t>
  </si>
  <si>
    <t>In progress</t>
  </si>
  <si>
    <t>Draft copy sent to SC - official process will start upon VO approval</t>
  </si>
  <si>
    <t>Optional in contract - canNot appoint sub without approved VO</t>
  </si>
  <si>
    <t xml:space="preserve">25-012 (25P013)-KSA </t>
  </si>
  <si>
    <t xml:space="preserve">25-047-DXB </t>
  </si>
  <si>
    <t>Villa Ned Al Humer - Naga Signature</t>
  </si>
  <si>
    <t xml:space="preserve">25-048-DXB </t>
  </si>
  <si>
    <t>Villa Al Khawaneej - Naga Signature</t>
  </si>
  <si>
    <t>Tropographic Services</t>
  </si>
  <si>
    <t>-</t>
  </si>
  <si>
    <t>In the old tracker the amount was 2,834,850.00 with the same ref #. - cancelled as per proc 2-april</t>
  </si>
  <si>
    <t>Road Design and Traffiic Study for Surrounding area of Julyana</t>
  </si>
  <si>
    <t>CGEC</t>
  </si>
  <si>
    <t>Authority Approvals</t>
  </si>
  <si>
    <t>Swimming Pool Electro Mechanical Services</t>
  </si>
  <si>
    <t>Under SC review</t>
  </si>
  <si>
    <t xml:space="preserve">J2004 Jumeirah Golf Estate Phase2 - Wasl ( Contract 2 )
</t>
  </si>
  <si>
    <t xml:space="preserve">AESG
</t>
  </si>
  <si>
    <t>Infrastructure AOR</t>
  </si>
  <si>
    <t>Al Amerah Residential Project (Phase 1) ( Contract 2)- IMKAN</t>
  </si>
  <si>
    <t>Awaiting SC Signature</t>
  </si>
  <si>
    <t>Traffic Impact study</t>
  </si>
  <si>
    <t>Sent to 2026</t>
  </si>
  <si>
    <t>Residential Development at Benghazi - Roya</t>
  </si>
  <si>
    <t xml:space="preserve">The Pm choose one quotation  and send it to the contracts team for review and action </t>
  </si>
  <si>
    <t>Road Design and Traffic Study for Julyana - OMNI</t>
  </si>
  <si>
    <t>CGCE</t>
  </si>
  <si>
    <t>Traffic impact study</t>
  </si>
  <si>
    <t>Awaiting Sub Signature</t>
  </si>
  <si>
    <t xml:space="preserve">The subconsultant is Not responding on emails </t>
  </si>
  <si>
    <t xml:space="preserve">25-049-DXB </t>
  </si>
  <si>
    <t xml:space="preserve">Design Service for JGE Phase 2 South Villas- Wasl
</t>
  </si>
  <si>
    <t xml:space="preserve">Jouzy Consulting Engineers
</t>
  </si>
  <si>
    <t xml:space="preserve">Authority Approvals
</t>
  </si>
  <si>
    <t>The Project Manager is currently obtaining additional quotations to get better price and to allow additional time until our license certification is completed.</t>
  </si>
  <si>
    <t>Consultancy services for Fursan 3 -NHC</t>
  </si>
  <si>
    <t>Freelancer</t>
  </si>
  <si>
    <t>Design lift station</t>
  </si>
  <si>
    <t>Design Confidence LLC</t>
  </si>
  <si>
    <t>Security and Parking Management Consutancy Services</t>
  </si>
  <si>
    <t xml:space="preserve">To be converted to VO - Awaiting client recommendation </t>
  </si>
  <si>
    <t>Swimming Pool &amp; Electro Mechanical Design</t>
  </si>
  <si>
    <t>UMAYA</t>
  </si>
  <si>
    <t>Lighting</t>
  </si>
  <si>
    <t>Kitchen</t>
  </si>
  <si>
    <t>23-036-AUH Consultancy Service for Al Fahid Non Resi Buildings-Al Dar FM only</t>
  </si>
  <si>
    <t>will release once credit note is provided</t>
  </si>
  <si>
    <t>UPONOR GMBH</t>
  </si>
  <si>
    <t xml:space="preserve">Cooling System Services </t>
  </si>
  <si>
    <t>Under Mr Halaby Review</t>
  </si>
  <si>
    <t>Al Ahli Club_Enmaa</t>
  </si>
  <si>
    <t>Melee</t>
  </si>
  <si>
    <t>Sports Facilities</t>
  </si>
  <si>
    <t xml:space="preserve">26-004-DXB </t>
  </si>
  <si>
    <t>LIV6 ,Safeer Tower, Dubai Marina</t>
  </si>
  <si>
    <t>Freyssinet</t>
  </si>
  <si>
    <t>Design and Stucture Assessment</t>
  </si>
  <si>
    <t>26-004-DXB</t>
  </si>
  <si>
    <t>SSE</t>
  </si>
  <si>
    <t>PT Slab Review</t>
  </si>
  <si>
    <t>Consultancy Service for Al Fahid Non Resi Buildings-Al Dar-
Facility Management Building</t>
  </si>
  <si>
    <t>Under technical review</t>
  </si>
  <si>
    <t>Mila FZ</t>
  </si>
  <si>
    <t>Landscape</t>
  </si>
  <si>
    <t>VTIG</t>
  </si>
  <si>
    <t>26-016-DXB</t>
  </si>
  <si>
    <t>Vestian Mea Real Estate LLC</t>
  </si>
  <si>
    <t>Feasibility Study Services</t>
  </si>
  <si>
    <t>Al Ahli Club</t>
  </si>
  <si>
    <t>Sports Facilities Advisory Services</t>
  </si>
  <si>
    <t>Pipeline</t>
  </si>
  <si>
    <t>Responsibility</t>
  </si>
  <si>
    <t xml:space="preserve">Award </t>
  </si>
  <si>
    <t>Contracts</t>
  </si>
  <si>
    <t xml:space="preserve">Form of Contract  </t>
  </si>
  <si>
    <t xml:space="preserve">Issue </t>
  </si>
  <si>
    <t xml:space="preserve">Technical Review  </t>
  </si>
  <si>
    <t>PM</t>
  </si>
  <si>
    <t xml:space="preserve">Commercial Review  </t>
  </si>
  <si>
    <t>Finance</t>
  </si>
  <si>
    <t xml:space="preserve">Submitted to Dr. Shams for Signature  </t>
  </si>
  <si>
    <t xml:space="preserve">Signed by Dr. Shams  </t>
  </si>
  <si>
    <t xml:space="preserve">Submitted for Client Signature  </t>
  </si>
  <si>
    <t xml:space="preserve">Signed Contract Collected  </t>
  </si>
  <si>
    <t xml:space="preserve">Issuance Request  </t>
  </si>
  <si>
    <t xml:space="preserve">Review  </t>
  </si>
  <si>
    <t xml:space="preserve">Approval  </t>
  </si>
  <si>
    <t xml:space="preserve">Submit For client Signature  </t>
  </si>
  <si>
    <t xml:space="preserve">VO Work Status </t>
  </si>
  <si>
    <t xml:space="preserve">Invoice  </t>
  </si>
  <si>
    <t>Finance/Technical</t>
  </si>
  <si>
    <t xml:space="preserve">Payment </t>
  </si>
  <si>
    <t xml:space="preserve">Initial Request </t>
  </si>
  <si>
    <t xml:space="preserve">Collect 3  Quotations  </t>
  </si>
  <si>
    <t>Procurement</t>
  </si>
  <si>
    <t xml:space="preserve">Evaluate the Quotations and share with PM </t>
  </si>
  <si>
    <t xml:space="preserve">Recommend one of the Quotations  </t>
  </si>
  <si>
    <t xml:space="preserve">Collect signed Quotation from Sub-Consultant </t>
  </si>
  <si>
    <t xml:space="preserve">Submit Quotation to Dr. Shams to sign  </t>
  </si>
  <si>
    <t xml:space="preserve">Generate PO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</si>
</sst>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dd\-mmm\-yy"/>
    <numFmt numFmtId="166" formatCode="[$-409]d\-mmm\-yyyy;@"/>
  </numFmts>
  <fonts count="26" x14ac:knownFonts="1">
    <font>
      <sz val="11"/>
      <color theme="1"/>
      <name val="Aptos Narrow"/>
      <family val="2"/>
      <scheme val="minor"/>
    </font>
    <font>
      <sz val="11"/>
      <color theme="1"/>
      <name val="Calibri"/>
      <family val="2"/>
    </font>
    <font>
      <b/>
      <sz val="11"/>
      <color theme="1"/>
      <name val="Calibri"/>
      <family val="2"/>
    </font>
    <font>
      <sz val="12"/>
      <color theme="1"/>
      <name val="Calibri"/>
      <family val="2"/>
    </font>
    <font>
      <b/>
      <sz val="12"/>
      <color theme="1"/>
      <name val="Calibri"/>
      <family val="2"/>
    </font>
    <font>
      <sz val="11"/>
      <name val="Calibri"/>
      <family val="2"/>
    </font>
    <font>
      <strike/>
      <sz val="11"/>
      <color theme="1"/>
      <name val="Calibri"/>
      <family val="2"/>
    </font>
    <font>
      <sz val="8"/>
      <name val="Aptos Narrow"/>
      <family val="2"/>
      <scheme val="minor"/>
    </font>
    <font>
      <sz val="12"/>
      <color theme="1"/>
      <name val="Aptos Narrow"/>
      <family val="2"/>
      <scheme val="minor"/>
    </font>
    <font>
      <u/>
      <sz val="12"/>
      <color theme="10"/>
      <name val="Aptos Narrow"/>
      <family val="2"/>
      <scheme val="minor"/>
    </font>
    <font>
      <b/>
      <sz val="11"/>
      <name val="Aptos Narrow"/>
      <family val="2"/>
      <scheme val="minor"/>
    </font>
    <font>
      <sz val="11"/>
      <color rgb="FF000000"/>
      <name val="Aptos Narrow"/>
      <family val="2"/>
      <scheme val="minor"/>
    </font>
    <font>
      <b/>
      <sz val="12"/>
      <name val="Aptos Narrow"/>
      <family val="2"/>
      <scheme val="minor"/>
    </font>
    <font>
      <b/>
      <sz val="12"/>
      <name val="Calibri"/>
      <family val="2"/>
    </font>
    <font>
      <sz val="11"/>
      <color theme="1"/>
      <name val="Calibri"/>
    </font>
    <font>
      <sz val="11"/>
      <name val="Calibri"/>
    </font>
    <font>
      <sz val="11"/>
      <color rgb="FF000000"/>
      <name val="Calibri"/>
      <family val="2"/>
    </font>
    <font>
      <b/>
      <sz val="12"/>
      <color rgb="FF000000"/>
      <name val="Aptos Narrow"/>
      <family val="2"/>
      <scheme val="minor"/>
    </font>
    <font>
      <strike/>
      <sz val="11"/>
      <color rgb="FF000000"/>
      <name val="Calibri"/>
      <family val="2"/>
    </font>
    <font>
      <sz val="11"/>
      <color rgb="FF000000"/>
      <name val="Calibri"/>
    </font>
    <font>
      <sz val="11"/>
      <color theme="1"/>
      <name val="Aptos Narrow"/>
      <family val="2"/>
      <scheme val="minor"/>
    </font>
    <font>
      <b/>
      <sz val="12"/>
      <name val="Calibri"/>
    </font>
    <font>
      <sz val="11"/>
      <color rgb="FF000000"/>
      <name val="Aptos Narrow"/>
      <family val="2"/>
    </font>
    <font>
      <b/>
      <sz val="11"/>
      <color rgb="FF000000"/>
      <name val="Aptos Narrow"/>
      <family val="2"/>
    </font>
    <font>
      <sz val="12"/>
      <color theme="1"/>
      <name val="Calibri"/>
    </font>
    <font>
      <sz val="11"/>
      <color theme="5" tint="-0.499984740745262"/>
      <name val="Calibri"/>
      <family val="2"/>
    </font>
  </fonts>
  <fills count="1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FFFF99"/>
        <bgColor indexed="64"/>
      </patternFill>
    </fill>
    <fill>
      <patternFill patternType="solid">
        <fgColor rgb="FFFAECA0"/>
        <bgColor indexed="64"/>
      </patternFill>
    </fill>
    <fill>
      <patternFill patternType="solid">
        <fgColor theme="9" tint="0.39997558519241921"/>
        <bgColor indexed="64"/>
      </patternFill>
    </fill>
    <fill>
      <patternFill patternType="solid">
        <fgColor rgb="FFFFF7E1"/>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FFFF"/>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indexed="64"/>
      </right>
      <top/>
      <bottom style="thin">
        <color indexed="64"/>
      </bottom>
      <diagonal/>
    </border>
    <border>
      <left style="thin">
        <color rgb="FF000000"/>
      </left>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bottom style="thin">
        <color rgb="FF000000"/>
      </bottom>
      <diagonal/>
    </border>
  </borders>
  <cellStyleXfs count="5">
    <xf numFmtId="0" fontId="0" fillId="0" borderId="0"/>
    <xf numFmtId="0" fontId="8" fillId="0" borderId="0"/>
    <xf numFmtId="0" fontId="9" fillId="0" borderId="0" applyNumberFormat="0" applyFill="0" applyBorder="0" applyAlignment="0" applyProtection="0"/>
    <xf numFmtId="43" fontId="8" fillId="0" borderId="0" applyFont="0" applyFill="0" applyBorder="0" applyAlignment="0" applyProtection="0"/>
    <xf numFmtId="43" fontId="20" fillId="0" borderId="0" applyFont="0" applyFill="0" applyBorder="0" applyAlignment="0" applyProtection="0"/>
  </cellStyleXfs>
  <cellXfs count="241">
    <xf numFmtId="0" fontId="0" fillId="0" borderId="0" xfId="0"/>
    <xf numFmtId="0" fontId="1" fillId="0" borderId="0" xfId="0" applyFont="1" applyAlignment="1">
      <alignment vertical="center"/>
    </xf>
    <xf numFmtId="0" fontId="3" fillId="0" borderId="0" xfId="0" applyFont="1" applyAlignment="1">
      <alignment horizontal="center" vertical="center"/>
    </xf>
    <xf numFmtId="3" fontId="1" fillId="0" borderId="0" xfId="0" applyNumberFormat="1" applyFont="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3" xfId="0" applyFont="1" applyBorder="1" applyAlignment="1">
      <alignment horizontal="left" vertical="center"/>
    </xf>
    <xf numFmtId="0" fontId="1" fillId="0" borderId="0" xfId="0" applyFont="1" applyAlignment="1">
      <alignment horizontal="left" vertical="center"/>
    </xf>
    <xf numFmtId="0" fontId="1" fillId="0" borderId="5" xfId="0" applyFont="1" applyBorder="1" applyAlignment="1">
      <alignment horizontal="left" vertical="center"/>
    </xf>
    <xf numFmtId="0" fontId="1" fillId="0" borderId="0" xfId="0" applyFont="1" applyAlignment="1">
      <alignment vertical="top"/>
    </xf>
    <xf numFmtId="0" fontId="5" fillId="0" borderId="0" xfId="0" applyFont="1" applyAlignment="1">
      <alignment vertical="top"/>
    </xf>
    <xf numFmtId="0" fontId="1" fillId="0" borderId="5" xfId="0" applyFont="1" applyBorder="1" applyAlignment="1">
      <alignment horizontal="center" vertical="top"/>
    </xf>
    <xf numFmtId="0" fontId="16" fillId="0" borderId="8" xfId="0" applyFont="1" applyBorder="1" applyAlignment="1">
      <alignment vertical="top"/>
    </xf>
    <xf numFmtId="0" fontId="1" fillId="0" borderId="0" xfId="0" applyFont="1" applyAlignment="1">
      <alignment horizontal="center" vertical="top"/>
    </xf>
    <xf numFmtId="0" fontId="16" fillId="0" borderId="8" xfId="0" applyFont="1" applyBorder="1" applyAlignment="1">
      <alignment horizontal="center" vertical="top"/>
    </xf>
    <xf numFmtId="0" fontId="16" fillId="0" borderId="0" xfId="0" applyFont="1" applyAlignment="1">
      <alignment vertical="top"/>
    </xf>
    <xf numFmtId="0" fontId="22" fillId="0" borderId="0" xfId="0" applyFont="1"/>
    <xf numFmtId="0" fontId="1" fillId="2" borderId="5" xfId="0" applyFont="1" applyFill="1" applyBorder="1" applyAlignment="1">
      <alignment horizontal="center" vertical="center"/>
    </xf>
    <xf numFmtId="0" fontId="1" fillId="0" borderId="8" xfId="0" applyFont="1" applyBorder="1" applyAlignment="1">
      <alignment horizontal="center" vertical="top"/>
    </xf>
    <xf numFmtId="0" fontId="0" fillId="0" borderId="5" xfId="0" applyBorder="1" applyAlignment="1">
      <alignment horizontal="center" vertical="center"/>
    </xf>
    <xf numFmtId="0" fontId="0" fillId="0" borderId="5" xfId="0" applyBorder="1" applyAlignment="1">
      <alignment horizontal="left" vertical="center"/>
    </xf>
    <xf numFmtId="0" fontId="2" fillId="0" borderId="0" xfId="0" applyFont="1" applyAlignment="1">
      <alignment horizontal="left" vertical="center"/>
    </xf>
    <xf numFmtId="0" fontId="23" fillId="0" borderId="1" xfId="0" applyFont="1" applyBorder="1"/>
    <xf numFmtId="0" fontId="23" fillId="0" borderId="12" xfId="0" applyFont="1" applyBorder="1"/>
    <xf numFmtId="0" fontId="22" fillId="0" borderId="2" xfId="0" applyFont="1" applyBorder="1"/>
    <xf numFmtId="0" fontId="22" fillId="0" borderId="14" xfId="0" applyFont="1" applyBorder="1"/>
    <xf numFmtId="0" fontId="1" fillId="0" borderId="3" xfId="0" applyFont="1" applyBorder="1" applyAlignment="1">
      <alignment vertical="center"/>
    </xf>
    <xf numFmtId="0" fontId="1" fillId="0" borderId="7" xfId="0" applyFont="1" applyBorder="1" applyAlignment="1">
      <alignment horizontal="left" vertical="center"/>
    </xf>
    <xf numFmtId="2" fontId="0" fillId="0" borderId="5" xfId="0" applyNumberFormat="1" applyBorder="1" applyAlignment="1">
      <alignment horizontal="center" vertical="top"/>
    </xf>
    <xf numFmtId="0" fontId="1" fillId="13" borderId="0" xfId="0" applyFont="1" applyFill="1" applyAlignment="1">
      <alignment vertical="top"/>
    </xf>
    <xf numFmtId="0" fontId="1" fillId="0" borderId="5" xfId="0" applyFont="1" applyBorder="1" applyAlignment="1">
      <alignment vertical="center"/>
    </xf>
    <xf numFmtId="3" fontId="1" fillId="0" borderId="5" xfId="0" applyNumberFormat="1" applyFont="1" applyBorder="1" applyAlignment="1">
      <alignment horizontal="center" vertical="center"/>
    </xf>
    <xf numFmtId="166" fontId="1" fillId="0" borderId="0" xfId="0" applyNumberFormat="1" applyFont="1" applyAlignment="1">
      <alignment vertical="center"/>
    </xf>
    <xf numFmtId="166" fontId="1" fillId="0" borderId="5" xfId="0" applyNumberFormat="1" applyFont="1" applyBorder="1" applyAlignment="1">
      <alignment vertical="center"/>
    </xf>
    <xf numFmtId="0" fontId="14" fillId="2" borderId="5"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1" xfId="0" applyFont="1" applyFill="1" applyBorder="1" applyAlignment="1">
      <alignment horizontal="left" vertical="center"/>
    </xf>
    <xf numFmtId="0" fontId="1" fillId="2" borderId="5" xfId="0" applyFont="1" applyFill="1" applyBorder="1" applyAlignment="1">
      <alignment vertical="center"/>
    </xf>
    <xf numFmtId="0" fontId="0" fillId="0" borderId="5" xfId="0" applyBorder="1" applyAlignment="1">
      <alignment wrapText="1"/>
    </xf>
    <xf numFmtId="164" fontId="1" fillId="2" borderId="5" xfId="0" applyNumberFormat="1" applyFont="1" applyFill="1" applyBorder="1" applyAlignment="1">
      <alignment horizontal="left" vertical="center"/>
    </xf>
    <xf numFmtId="0" fontId="1" fillId="2" borderId="5" xfId="0" applyFont="1" applyFill="1" applyBorder="1" applyAlignment="1">
      <alignment horizontal="left" vertical="center"/>
    </xf>
    <xf numFmtId="0" fontId="1" fillId="0" borderId="5" xfId="0" applyFont="1" applyBorder="1" applyAlignment="1">
      <alignment horizontal="center"/>
    </xf>
    <xf numFmtId="0" fontId="1" fillId="0" borderId="5" xfId="0" applyFont="1" applyBorder="1" applyAlignment="1">
      <alignment vertical="center" wrapText="1"/>
    </xf>
    <xf numFmtId="0" fontId="1" fillId="0" borderId="5" xfId="0" applyFont="1" applyBorder="1"/>
    <xf numFmtId="0" fontId="1" fillId="0" borderId="5" xfId="0" applyFont="1" applyBorder="1" applyAlignment="1">
      <alignment wrapText="1"/>
    </xf>
    <xf numFmtId="164" fontId="1" fillId="2" borderId="1" xfId="0" applyNumberFormat="1" applyFont="1" applyFill="1" applyBorder="1" applyAlignment="1">
      <alignment horizontal="left" vertical="center"/>
    </xf>
    <xf numFmtId="0" fontId="1" fillId="2" borderId="1" xfId="0" applyFont="1" applyFill="1" applyBorder="1" applyAlignment="1">
      <alignment horizontal="center" vertical="center"/>
    </xf>
    <xf numFmtId="164" fontId="1" fillId="2" borderId="7" xfId="0" applyNumberFormat="1" applyFont="1" applyFill="1" applyBorder="1" applyAlignment="1">
      <alignment horizontal="left" vertical="center"/>
    </xf>
    <xf numFmtId="0" fontId="1" fillId="2" borderId="7" xfId="0" applyFont="1" applyFill="1" applyBorder="1" applyAlignment="1">
      <alignment horizontal="left" vertical="center"/>
    </xf>
    <xf numFmtId="0" fontId="1" fillId="2" borderId="16" xfId="0" applyFont="1" applyFill="1" applyBorder="1" applyAlignment="1">
      <alignment horizontal="center" vertical="center"/>
    </xf>
    <xf numFmtId="164" fontId="1" fillId="0" borderId="5" xfId="0" applyNumberFormat="1" applyFont="1" applyBorder="1" applyAlignment="1">
      <alignment horizontal="left" vertical="center"/>
    </xf>
    <xf numFmtId="0" fontId="1" fillId="0" borderId="7" xfId="0" applyFont="1" applyBorder="1" applyAlignment="1">
      <alignment vertical="center"/>
    </xf>
    <xf numFmtId="0" fontId="0" fillId="0" borderId="5" xfId="0" applyBorder="1" applyAlignment="1">
      <alignment vertical="center" wrapText="1"/>
    </xf>
    <xf numFmtId="0" fontId="1" fillId="2" borderId="1" xfId="0" applyFont="1" applyFill="1" applyBorder="1" applyAlignment="1">
      <alignment vertical="center"/>
    </xf>
    <xf numFmtId="0" fontId="1" fillId="2" borderId="7" xfId="0" applyFont="1" applyFill="1" applyBorder="1" applyAlignment="1">
      <alignment vertical="center"/>
    </xf>
    <xf numFmtId="0" fontId="10" fillId="0" borderId="5" xfId="0" applyFont="1" applyBorder="1" applyAlignment="1">
      <alignment horizontal="center" vertical="center"/>
    </xf>
    <xf numFmtId="15" fontId="1" fillId="0" borderId="5" xfId="0" applyNumberFormat="1" applyFont="1" applyBorder="1" applyAlignment="1">
      <alignment vertical="center"/>
    </xf>
    <xf numFmtId="43" fontId="1" fillId="0" borderId="11" xfId="0" applyNumberFormat="1" applyFont="1" applyBorder="1" applyAlignment="1">
      <alignment horizontal="right" vertical="center"/>
    </xf>
    <xf numFmtId="43" fontId="1" fillId="0" borderId="18" xfId="0" applyNumberFormat="1" applyFont="1" applyBorder="1" applyAlignment="1">
      <alignment horizontal="right" vertical="center"/>
    </xf>
    <xf numFmtId="43" fontId="1" fillId="2" borderId="11" xfId="0" applyNumberFormat="1" applyFont="1" applyFill="1" applyBorder="1" applyAlignment="1">
      <alignment horizontal="right" vertical="center"/>
    </xf>
    <xf numFmtId="43" fontId="1" fillId="2" borderId="0" xfId="0" applyNumberFormat="1" applyFont="1" applyFill="1" applyAlignment="1">
      <alignment horizontal="right" vertical="center"/>
    </xf>
    <xf numFmtId="43" fontId="1" fillId="2" borderId="10" xfId="0" applyNumberFormat="1" applyFont="1" applyFill="1" applyBorder="1" applyAlignment="1">
      <alignment horizontal="right" vertical="center"/>
    </xf>
    <xf numFmtId="43" fontId="1" fillId="0" borderId="10" xfId="0" applyNumberFormat="1" applyFont="1" applyBorder="1" applyAlignment="1">
      <alignment horizontal="right" vertical="center"/>
    </xf>
    <xf numFmtId="43" fontId="1" fillId="0" borderId="10" xfId="0" applyNumberFormat="1" applyFont="1" applyBorder="1" applyAlignment="1">
      <alignment horizontal="right"/>
    </xf>
    <xf numFmtId="43" fontId="14" fillId="0" borderId="10" xfId="0" applyNumberFormat="1" applyFont="1" applyBorder="1" applyAlignment="1">
      <alignment horizontal="right" vertical="center"/>
    </xf>
    <xf numFmtId="43" fontId="1" fillId="0" borderId="0" xfId="0" applyNumberFormat="1" applyFont="1" applyAlignment="1">
      <alignment horizontal="right" vertical="center"/>
    </xf>
    <xf numFmtId="0" fontId="2" fillId="5" borderId="1" xfId="0" applyFont="1" applyFill="1" applyBorder="1" applyAlignment="1">
      <alignment horizontal="center" vertical="center"/>
    </xf>
    <xf numFmtId="43" fontId="2" fillId="5" borderId="11" xfId="0" applyNumberFormat="1" applyFont="1" applyFill="1" applyBorder="1" applyAlignment="1">
      <alignment horizontal="center" vertical="center"/>
    </xf>
    <xf numFmtId="0" fontId="2" fillId="5" borderId="5" xfId="0" applyFont="1" applyFill="1" applyBorder="1" applyAlignment="1">
      <alignment horizontal="center" vertical="center"/>
    </xf>
    <xf numFmtId="0" fontId="0" fillId="0" borderId="5" xfId="0" applyBorder="1"/>
    <xf numFmtId="43" fontId="0" fillId="0" borderId="10" xfId="0" applyNumberFormat="1" applyBorder="1" applyAlignment="1">
      <alignment horizontal="right"/>
    </xf>
    <xf numFmtId="0" fontId="0" fillId="0" borderId="5" xfId="0" applyBorder="1" applyAlignment="1">
      <alignment vertical="center"/>
    </xf>
    <xf numFmtId="0" fontId="0" fillId="0" borderId="5" xfId="0" applyBorder="1" applyAlignment="1">
      <alignment horizontal="center"/>
    </xf>
    <xf numFmtId="2" fontId="1" fillId="0" borderId="5" xfId="0" applyNumberFormat="1" applyFont="1" applyBorder="1" applyAlignment="1">
      <alignment horizontal="center" vertical="top"/>
    </xf>
    <xf numFmtId="2" fontId="0" fillId="2" borderId="5" xfId="0" applyNumberFormat="1" applyFill="1" applyBorder="1" applyAlignment="1">
      <alignment horizontal="center" vertical="top"/>
    </xf>
    <xf numFmtId="0" fontId="1" fillId="14" borderId="5" xfId="0" applyFont="1" applyFill="1" applyBorder="1" applyAlignment="1">
      <alignment horizontal="center" vertical="center"/>
    </xf>
    <xf numFmtId="2" fontId="16" fillId="0" borderId="5" xfId="0" applyNumberFormat="1" applyFont="1" applyBorder="1" applyAlignment="1">
      <alignment horizontal="center" vertical="top"/>
    </xf>
    <xf numFmtId="0" fontId="1" fillId="0" borderId="4" xfId="0" applyFont="1" applyBorder="1" applyAlignment="1">
      <alignment horizontal="center" vertical="center"/>
    </xf>
    <xf numFmtId="0" fontId="1" fillId="0" borderId="8" xfId="0" applyFont="1" applyBorder="1" applyAlignment="1">
      <alignment horizontal="center" vertical="center"/>
    </xf>
    <xf numFmtId="2" fontId="1" fillId="0" borderId="8" xfId="0" applyNumberFormat="1" applyFont="1" applyBorder="1" applyAlignment="1">
      <alignment horizontal="center" vertical="top"/>
    </xf>
    <xf numFmtId="0" fontId="1" fillId="0" borderId="5" xfId="0" applyFont="1" applyBorder="1" applyAlignment="1">
      <alignment vertical="top"/>
    </xf>
    <xf numFmtId="0" fontId="6" fillId="0" borderId="5" xfId="0" applyFont="1" applyBorder="1" applyAlignment="1">
      <alignment horizontal="center" vertical="center"/>
    </xf>
    <xf numFmtId="2" fontId="0" fillId="2" borderId="5" xfId="0" applyNumberFormat="1" applyFill="1" applyBorder="1" applyAlignment="1">
      <alignment horizontal="left" vertical="top"/>
    </xf>
    <xf numFmtId="2" fontId="1" fillId="0" borderId="5" xfId="0" applyNumberFormat="1" applyFont="1" applyBorder="1" applyAlignment="1">
      <alignment horizontal="left" vertical="top"/>
    </xf>
    <xf numFmtId="0" fontId="1" fillId="0" borderId="0" xfId="0" applyFont="1" applyAlignment="1">
      <alignment horizontal="left" vertical="top"/>
    </xf>
    <xf numFmtId="2" fontId="0" fillId="2" borderId="5" xfId="0" applyNumberFormat="1" applyFill="1" applyBorder="1" applyAlignment="1">
      <alignment horizontal="left" vertical="center"/>
    </xf>
    <xf numFmtId="0" fontId="5" fillId="0" borderId="5" xfId="0" applyFont="1" applyBorder="1" applyAlignment="1">
      <alignment horizontal="center" vertical="center"/>
    </xf>
    <xf numFmtId="0" fontId="14" fillId="0" borderId="5" xfId="0" applyFont="1" applyBorder="1" applyAlignment="1">
      <alignment horizontal="center" vertical="center"/>
    </xf>
    <xf numFmtId="2" fontId="0" fillId="0" borderId="5" xfId="0" applyNumberFormat="1" applyBorder="1" applyAlignment="1">
      <alignment horizontal="left" vertical="top"/>
    </xf>
    <xf numFmtId="0" fontId="1" fillId="14" borderId="5" xfId="0" applyFont="1" applyFill="1" applyBorder="1" applyAlignment="1">
      <alignment horizontal="center" vertical="top"/>
    </xf>
    <xf numFmtId="2" fontId="16" fillId="0" borderId="5" xfId="0" applyNumberFormat="1" applyFont="1" applyBorder="1" applyAlignment="1">
      <alignment horizontal="left" vertical="top"/>
    </xf>
    <xf numFmtId="0" fontId="12" fillId="5" borderId="6" xfId="0" applyFont="1" applyFill="1" applyBorder="1" applyAlignment="1">
      <alignment horizontal="center" vertical="top"/>
    </xf>
    <xf numFmtId="0" fontId="17" fillId="5" borderId="6" xfId="0" applyFont="1" applyFill="1" applyBorder="1" applyAlignment="1">
      <alignment horizontal="center" vertical="top"/>
    </xf>
    <xf numFmtId="0" fontId="13" fillId="5" borderId="6" xfId="0" applyFont="1" applyFill="1" applyBorder="1" applyAlignment="1">
      <alignment horizontal="center" vertical="center"/>
    </xf>
    <xf numFmtId="0" fontId="17" fillId="5" borderId="6" xfId="0" applyFont="1" applyFill="1" applyBorder="1" applyAlignment="1">
      <alignment horizontal="center" vertical="center"/>
    </xf>
    <xf numFmtId="0" fontId="12" fillId="0" borderId="6" xfId="0" applyFont="1" applyBorder="1" applyAlignment="1">
      <alignment horizontal="center" vertical="top"/>
    </xf>
    <xf numFmtId="2" fontId="1" fillId="0" borderId="8" xfId="0" applyNumberFormat="1" applyFont="1" applyBorder="1" applyAlignment="1">
      <alignment horizontal="left" vertical="top"/>
    </xf>
    <xf numFmtId="0" fontId="12" fillId="5" borderId="13" xfId="0" applyFont="1" applyFill="1" applyBorder="1" applyAlignment="1">
      <alignment horizontal="center" vertical="top"/>
    </xf>
    <xf numFmtId="2" fontId="0" fillId="2" borderId="17" xfId="0" applyNumberFormat="1" applyFill="1" applyBorder="1" applyAlignment="1">
      <alignment horizontal="center" vertical="top"/>
    </xf>
    <xf numFmtId="2" fontId="0" fillId="0" borderId="17" xfId="0" applyNumberFormat="1" applyBorder="1" applyAlignment="1">
      <alignment horizontal="center" vertical="top"/>
    </xf>
    <xf numFmtId="2" fontId="1" fillId="0" borderId="17" xfId="0" applyNumberFormat="1" applyFont="1" applyBorder="1" applyAlignment="1">
      <alignment horizontal="center" vertical="top"/>
    </xf>
    <xf numFmtId="2" fontId="14" fillId="0" borderId="17" xfId="0" applyNumberFormat="1" applyFont="1" applyBorder="1" applyAlignment="1">
      <alignment horizontal="center" vertical="top"/>
    </xf>
    <xf numFmtId="2" fontId="1" fillId="0" borderId="9" xfId="0" applyNumberFormat="1" applyFont="1" applyBorder="1" applyAlignment="1">
      <alignment horizontal="center" vertical="top"/>
    </xf>
    <xf numFmtId="0" fontId="1" fillId="0" borderId="10" xfId="0" applyFont="1" applyBorder="1" applyAlignment="1">
      <alignment vertical="top"/>
    </xf>
    <xf numFmtId="0" fontId="5" fillId="0" borderId="10" xfId="0" applyFont="1" applyBorder="1" applyAlignment="1">
      <alignment vertical="top"/>
    </xf>
    <xf numFmtId="0" fontId="1" fillId="0" borderId="15" xfId="0" applyFont="1" applyBorder="1" applyAlignment="1">
      <alignment vertical="top"/>
    </xf>
    <xf numFmtId="0" fontId="10" fillId="5" borderId="5" xfId="0" applyFont="1" applyFill="1" applyBorder="1" applyAlignment="1">
      <alignment horizontal="center" vertical="center"/>
    </xf>
    <xf numFmtId="0" fontId="10" fillId="5" borderId="5" xfId="0" applyFont="1" applyFill="1" applyBorder="1" applyAlignment="1">
      <alignment horizontal="left" vertical="center"/>
    </xf>
    <xf numFmtId="0" fontId="14" fillId="0" borderId="5" xfId="0" applyFont="1" applyBorder="1" applyAlignment="1">
      <alignment horizontal="left" vertical="center"/>
    </xf>
    <xf numFmtId="3" fontId="14" fillId="0" borderId="5" xfId="0" applyNumberFormat="1" applyFont="1" applyBorder="1" applyAlignment="1">
      <alignment horizontal="center" vertical="center"/>
    </xf>
    <xf numFmtId="0" fontId="2" fillId="0" borderId="4" xfId="0" applyFont="1" applyBorder="1" applyAlignment="1">
      <alignment horizontal="center" vertical="center"/>
    </xf>
    <xf numFmtId="3" fontId="1" fillId="0" borderId="4" xfId="0" applyNumberFormat="1" applyFont="1" applyBorder="1" applyAlignment="1">
      <alignment horizontal="left" vertical="center"/>
    </xf>
    <xf numFmtId="3" fontId="1" fillId="0" borderId="4" xfId="0" applyNumberFormat="1" applyFont="1" applyBorder="1" applyAlignment="1">
      <alignment horizontal="center" vertical="center"/>
    </xf>
    <xf numFmtId="0" fontId="11" fillId="0" borderId="5" xfId="0" applyFont="1" applyBorder="1" applyAlignment="1">
      <alignment horizontal="center" vertical="center"/>
    </xf>
    <xf numFmtId="0" fontId="2" fillId="0" borderId="4" xfId="0" applyFont="1" applyBorder="1" applyAlignment="1">
      <alignment horizontal="left" vertical="center"/>
    </xf>
    <xf numFmtId="2" fontId="0" fillId="2" borderId="17" xfId="0" applyNumberFormat="1" applyFill="1" applyBorder="1" applyAlignment="1">
      <alignment horizontal="center" vertical="center"/>
    </xf>
    <xf numFmtId="2" fontId="0" fillId="2" borderId="5" xfId="0" applyNumberFormat="1" applyFill="1" applyBorder="1" applyAlignment="1">
      <alignment horizontal="center" vertical="center"/>
    </xf>
    <xf numFmtId="0" fontId="16" fillId="0" borderId="5" xfId="0" applyFont="1" applyBorder="1" applyAlignment="1">
      <alignment horizontal="left" vertical="center"/>
    </xf>
    <xf numFmtId="2" fontId="0" fillId="0" borderId="5" xfId="0" applyNumberFormat="1" applyBorder="1" applyAlignment="1">
      <alignment horizontal="center" vertical="center"/>
    </xf>
    <xf numFmtId="15" fontId="11" fillId="0" borderId="5" xfId="0" applyNumberFormat="1" applyFont="1" applyBorder="1" applyAlignment="1">
      <alignment horizontal="center" vertical="center"/>
    </xf>
    <xf numFmtId="2" fontId="0" fillId="0" borderId="17" xfId="0" applyNumberFormat="1" applyBorder="1" applyAlignment="1">
      <alignment horizontal="center" vertical="center"/>
    </xf>
    <xf numFmtId="2" fontId="0" fillId="0" borderId="5" xfId="0" applyNumberFormat="1" applyBorder="1" applyAlignment="1">
      <alignment horizontal="left" vertical="center"/>
    </xf>
    <xf numFmtId="15" fontId="11" fillId="0" borderId="10" xfId="0" applyNumberFormat="1" applyFont="1" applyBorder="1" applyAlignment="1">
      <alignment horizontal="center" vertical="center"/>
    </xf>
    <xf numFmtId="0" fontId="16" fillId="2" borderId="5" xfId="0" applyFont="1" applyFill="1" applyBorder="1" applyAlignment="1">
      <alignment horizontal="left" vertical="center"/>
    </xf>
    <xf numFmtId="15" fontId="19" fillId="0" borderId="10" xfId="0" applyNumberFormat="1" applyFont="1" applyBorder="1" applyAlignment="1">
      <alignment horizontal="center" vertical="center"/>
    </xf>
    <xf numFmtId="15" fontId="16" fillId="0" borderId="10" xfId="0" applyNumberFormat="1" applyFont="1" applyBorder="1" applyAlignment="1">
      <alignment horizontal="center" vertical="center"/>
    </xf>
    <xf numFmtId="15" fontId="11" fillId="2" borderId="5" xfId="0" applyNumberFormat="1" applyFont="1" applyFill="1" applyBorder="1" applyAlignment="1">
      <alignment horizontal="center" vertical="center"/>
    </xf>
    <xf numFmtId="0" fontId="18" fillId="0" borderId="5" xfId="0" applyFont="1" applyBorder="1" applyAlignment="1">
      <alignment horizontal="left" vertical="center"/>
    </xf>
    <xf numFmtId="0" fontId="19" fillId="0" borderId="5" xfId="0" applyFont="1" applyBorder="1" applyAlignment="1">
      <alignment horizontal="left" vertical="center"/>
    </xf>
    <xf numFmtId="16" fontId="16" fillId="0" borderId="5" xfId="0" applyNumberFormat="1" applyFont="1" applyBorder="1" applyAlignment="1">
      <alignment horizontal="left" vertical="center"/>
    </xf>
    <xf numFmtId="0" fontId="16" fillId="0" borderId="5" xfId="0" quotePrefix="1" applyFont="1" applyBorder="1" applyAlignment="1">
      <alignment horizontal="left" vertical="center"/>
    </xf>
    <xf numFmtId="0" fontId="14" fillId="9" borderId="5" xfId="0" applyFont="1" applyFill="1" applyBorder="1" applyAlignment="1">
      <alignment horizontal="center" vertical="center"/>
    </xf>
    <xf numFmtId="0" fontId="8" fillId="0" borderId="5" xfId="0" applyFont="1" applyBorder="1" applyAlignment="1">
      <alignment horizontal="center"/>
    </xf>
    <xf numFmtId="0" fontId="16" fillId="0" borderId="5" xfId="0" applyFont="1" applyBorder="1" applyAlignment="1">
      <alignment horizontal="center" vertical="center"/>
    </xf>
    <xf numFmtId="15" fontId="16" fillId="0" borderId="5" xfId="0" applyNumberFormat="1" applyFont="1" applyBorder="1" applyAlignment="1">
      <alignment horizontal="center" vertical="center"/>
    </xf>
    <xf numFmtId="0" fontId="16" fillId="0" borderId="5" xfId="0" applyFont="1" applyBorder="1" applyAlignment="1">
      <alignment vertical="center"/>
    </xf>
    <xf numFmtId="0" fontId="16" fillId="0" borderId="5" xfId="0" applyFont="1" applyBorder="1"/>
    <xf numFmtId="0" fontId="5" fillId="14" borderId="5" xfId="0" applyFont="1" applyFill="1" applyBorder="1"/>
    <xf numFmtId="0" fontId="19" fillId="0" borderId="5" xfId="0" applyFont="1" applyBorder="1" applyAlignment="1">
      <alignment horizontal="center" vertical="center"/>
    </xf>
    <xf numFmtId="43" fontId="12" fillId="0" borderId="6" xfId="0" applyNumberFormat="1" applyFont="1" applyBorder="1" applyAlignment="1">
      <alignment horizontal="center" vertical="top"/>
    </xf>
    <xf numFmtId="43" fontId="0" fillId="0" borderId="5" xfId="0" applyNumberFormat="1" applyBorder="1" applyAlignment="1">
      <alignment horizontal="right" vertical="center"/>
    </xf>
    <xf numFmtId="43" fontId="1" fillId="0" borderId="5" xfId="4" applyFont="1" applyFill="1" applyBorder="1" applyAlignment="1">
      <alignment horizontal="right" vertical="center"/>
    </xf>
    <xf numFmtId="43" fontId="16" fillId="0" borderId="5" xfId="0" applyNumberFormat="1" applyFont="1" applyBorder="1" applyAlignment="1">
      <alignment horizontal="right" vertical="top"/>
    </xf>
    <xf numFmtId="43" fontId="0" fillId="0" borderId="5" xfId="0" applyNumberFormat="1" applyBorder="1" applyAlignment="1">
      <alignment horizontal="right" vertical="top"/>
    </xf>
    <xf numFmtId="43" fontId="0" fillId="0" borderId="5" xfId="0" applyNumberFormat="1" applyBorder="1" applyAlignment="1">
      <alignment horizontal="right" vertical="center" wrapText="1"/>
    </xf>
    <xf numFmtId="43" fontId="19" fillId="0" borderId="5" xfId="0" applyNumberFormat="1" applyFont="1" applyBorder="1" applyAlignment="1">
      <alignment horizontal="right" vertical="top"/>
    </xf>
    <xf numFmtId="43" fontId="1" fillId="0" borderId="5" xfId="0" applyNumberFormat="1" applyFont="1" applyBorder="1" applyAlignment="1">
      <alignment horizontal="right" vertical="top"/>
    </xf>
    <xf numFmtId="43" fontId="1" fillId="0" borderId="8" xfId="0" applyNumberFormat="1" applyFont="1" applyBorder="1" applyAlignment="1">
      <alignment horizontal="right" vertical="top"/>
    </xf>
    <xf numFmtId="43" fontId="1" fillId="0" borderId="0" xfId="0" applyNumberFormat="1" applyFont="1" applyAlignment="1">
      <alignment horizontal="right" vertical="top"/>
    </xf>
    <xf numFmtId="15" fontId="0" fillId="0" borderId="5" xfId="0" applyNumberFormat="1" applyBorder="1" applyAlignment="1">
      <alignment horizontal="center" vertical="center"/>
    </xf>
    <xf numFmtId="165" fontId="0" fillId="0" borderId="5" xfId="0" applyNumberFormat="1" applyBorder="1" applyAlignment="1">
      <alignment horizontal="center" vertical="center"/>
    </xf>
    <xf numFmtId="0" fontId="0" fillId="8" borderId="5" xfId="0" applyFill="1" applyBorder="1" applyAlignment="1">
      <alignment horizontal="center" vertical="center"/>
    </xf>
    <xf numFmtId="15" fontId="24" fillId="8" borderId="5" xfId="0" applyNumberFormat="1" applyFont="1" applyFill="1" applyBorder="1" applyAlignment="1">
      <alignment horizontal="center" vertical="center"/>
    </xf>
    <xf numFmtId="0" fontId="0" fillId="8" borderId="5" xfId="0" applyFill="1" applyBorder="1" applyAlignment="1">
      <alignment horizontal="center" vertical="center" indent="1"/>
    </xf>
    <xf numFmtId="15" fontId="0" fillId="3" borderId="5" xfId="0" applyNumberFormat="1" applyFill="1" applyBorder="1" applyAlignment="1">
      <alignment horizontal="center" vertical="center"/>
    </xf>
    <xf numFmtId="15" fontId="24" fillId="3" borderId="5" xfId="0" applyNumberFormat="1" applyFont="1" applyFill="1" applyBorder="1" applyAlignment="1">
      <alignment horizontal="center" vertical="center"/>
    </xf>
    <xf numFmtId="165" fontId="0" fillId="0" borderId="4" xfId="0" applyNumberFormat="1" applyBorder="1" applyAlignment="1">
      <alignment horizontal="center" vertical="center"/>
    </xf>
    <xf numFmtId="165" fontId="0" fillId="0" borderId="14" xfId="0" applyNumberFormat="1" applyBorder="1" applyAlignment="1">
      <alignment horizontal="center" vertical="center"/>
    </xf>
    <xf numFmtId="0" fontId="4" fillId="0" borderId="5" xfId="0" applyFont="1" applyBorder="1" applyAlignment="1">
      <alignment horizontal="center" vertical="center"/>
    </xf>
    <xf numFmtId="15" fontId="11" fillId="3" borderId="5" xfId="0" applyNumberFormat="1" applyFont="1" applyFill="1" applyBorder="1" applyAlignment="1">
      <alignment horizontal="center" vertical="center"/>
    </xf>
    <xf numFmtId="15" fontId="11" fillId="7" borderId="5" xfId="0" applyNumberFormat="1" applyFont="1" applyFill="1" applyBorder="1" applyAlignment="1">
      <alignment horizontal="center" vertical="center"/>
    </xf>
    <xf numFmtId="0" fontId="0" fillId="9" borderId="5" xfId="0" applyFill="1" applyBorder="1" applyAlignment="1">
      <alignment horizontal="center" vertical="center"/>
    </xf>
    <xf numFmtId="0" fontId="0" fillId="2" borderId="5" xfId="0" applyFill="1" applyBorder="1" applyAlignment="1">
      <alignment horizontal="center" vertical="center"/>
    </xf>
    <xf numFmtId="15" fontId="11" fillId="4" borderId="5" xfId="0" applyNumberFormat="1" applyFont="1" applyFill="1" applyBorder="1" applyAlignment="1">
      <alignment horizontal="center" vertical="center"/>
    </xf>
    <xf numFmtId="15" fontId="11" fillId="11" borderId="5" xfId="0" applyNumberFormat="1" applyFont="1" applyFill="1" applyBorder="1" applyAlignment="1">
      <alignment horizontal="center" vertical="center"/>
    </xf>
    <xf numFmtId="15" fontId="11" fillId="13" borderId="5" xfId="0" applyNumberFormat="1" applyFont="1" applyFill="1" applyBorder="1" applyAlignment="1">
      <alignment horizontal="center" vertical="center"/>
    </xf>
    <xf numFmtId="15" fontId="11" fillId="12" borderId="5" xfId="0" applyNumberFormat="1" applyFont="1" applyFill="1" applyBorder="1" applyAlignment="1">
      <alignment horizontal="center" vertical="center"/>
    </xf>
    <xf numFmtId="3" fontId="0" fillId="0" borderId="5" xfId="0" applyNumberFormat="1" applyBorder="1" applyAlignment="1">
      <alignment horizontal="center" vertical="center"/>
    </xf>
    <xf numFmtId="0" fontId="19" fillId="10" borderId="5" xfId="0" applyFont="1" applyFill="1" applyBorder="1" applyAlignment="1">
      <alignment horizontal="center" vertical="center"/>
    </xf>
    <xf numFmtId="0" fontId="16" fillId="0" borderId="0" xfId="0" applyFont="1" applyAlignment="1">
      <alignment horizontal="center" vertical="center"/>
    </xf>
    <xf numFmtId="0" fontId="2" fillId="0" borderId="6" xfId="0" applyFont="1" applyBorder="1" applyAlignment="1">
      <alignment vertical="top"/>
    </xf>
    <xf numFmtId="0" fontId="2" fillId="0" borderId="19" xfId="0" applyFont="1" applyBorder="1" applyAlignment="1">
      <alignment vertical="top"/>
    </xf>
    <xf numFmtId="0" fontId="1" fillId="3" borderId="5" xfId="0" applyFont="1" applyFill="1" applyBorder="1" applyAlignment="1">
      <alignment horizontal="center" vertical="center"/>
    </xf>
    <xf numFmtId="15" fontId="1" fillId="6" borderId="5" xfId="0" applyNumberFormat="1" applyFont="1" applyFill="1" applyBorder="1" applyAlignment="1">
      <alignment horizontal="center" vertical="center"/>
    </xf>
    <xf numFmtId="0" fontId="0" fillId="8" borderId="5" xfId="0" applyFill="1" applyBorder="1" applyAlignment="1">
      <alignment horizontal="center" vertical="center" wrapText="1"/>
    </xf>
    <xf numFmtId="0" fontId="1" fillId="6" borderId="5" xfId="0" applyFont="1" applyFill="1" applyBorder="1" applyAlignment="1">
      <alignment horizontal="center" vertical="center"/>
    </xf>
    <xf numFmtId="0" fontId="25" fillId="0" borderId="5" xfId="0" applyFont="1" applyBorder="1" applyAlignment="1">
      <alignment horizontal="center" vertical="center"/>
    </xf>
    <xf numFmtId="165" fontId="0" fillId="0" borderId="10" xfId="0" applyNumberFormat="1" applyBorder="1" applyAlignment="1">
      <alignment horizontal="center" vertical="center"/>
    </xf>
    <xf numFmtId="15" fontId="0" fillId="0" borderId="10" xfId="0" applyNumberFormat="1" applyBorder="1" applyAlignment="1">
      <alignment horizontal="center" vertical="center"/>
    </xf>
    <xf numFmtId="15" fontId="0" fillId="3" borderId="10" xfId="0" applyNumberFormat="1" applyFill="1" applyBorder="1" applyAlignment="1">
      <alignment horizontal="center" vertical="center"/>
    </xf>
    <xf numFmtId="15" fontId="24" fillId="8" borderId="10" xfId="0" applyNumberFormat="1" applyFont="1" applyFill="1" applyBorder="1" applyAlignment="1">
      <alignment horizontal="center" vertical="center"/>
    </xf>
    <xf numFmtId="0" fontId="1" fillId="0" borderId="17" xfId="0" applyFont="1" applyBorder="1" applyAlignment="1">
      <alignment vertical="center"/>
    </xf>
    <xf numFmtId="0" fontId="10" fillId="5" borderId="8" xfId="0" applyFont="1" applyFill="1" applyBorder="1" applyAlignment="1">
      <alignment horizontal="center" vertical="center"/>
    </xf>
    <xf numFmtId="15" fontId="0" fillId="0" borderId="8" xfId="0" applyNumberFormat="1" applyBorder="1" applyAlignment="1">
      <alignment horizontal="center" vertical="center"/>
    </xf>
    <xf numFmtId="0" fontId="0" fillId="0" borderId="8" xfId="0" applyBorder="1" applyAlignment="1">
      <alignment horizontal="center" vertical="center"/>
    </xf>
    <xf numFmtId="0" fontId="14" fillId="0" borderId="8" xfId="0" applyFont="1" applyBorder="1" applyAlignment="1">
      <alignment horizontal="center" vertical="center"/>
    </xf>
    <xf numFmtId="0" fontId="11" fillId="0" borderId="8" xfId="0" applyFont="1" applyBorder="1" applyAlignment="1">
      <alignment horizontal="center" vertical="center"/>
    </xf>
    <xf numFmtId="15" fontId="0" fillId="0" borderId="6" xfId="0" applyNumberFormat="1" applyBorder="1" applyAlignment="1">
      <alignment horizontal="center" vertical="center"/>
    </xf>
    <xf numFmtId="0" fontId="0" fillId="0" borderId="6" xfId="0" applyBorder="1" applyAlignment="1">
      <alignment horizontal="center" vertical="center"/>
    </xf>
    <xf numFmtId="15" fontId="0" fillId="0" borderId="7" xfId="0" applyNumberFormat="1" applyBorder="1" applyAlignment="1">
      <alignment horizontal="center" vertical="center"/>
    </xf>
    <xf numFmtId="0" fontId="0" fillId="0" borderId="7" xfId="0" applyBorder="1" applyAlignment="1">
      <alignment horizontal="center" vertical="center"/>
    </xf>
    <xf numFmtId="0" fontId="1" fillId="0" borderId="4" xfId="0" applyFont="1" applyBorder="1" applyAlignment="1">
      <alignment horizontal="left" vertical="center"/>
    </xf>
    <xf numFmtId="0" fontId="13" fillId="5" borderId="13" xfId="0" applyFont="1" applyFill="1" applyBorder="1" applyAlignment="1">
      <alignment horizontal="center" vertical="center"/>
    </xf>
    <xf numFmtId="0" fontId="13" fillId="5" borderId="6" xfId="0" applyFont="1" applyFill="1" applyBorder="1" applyAlignment="1">
      <alignment vertical="center"/>
    </xf>
    <xf numFmtId="0" fontId="4" fillId="5" borderId="6" xfId="0" applyFont="1" applyFill="1" applyBorder="1" applyAlignment="1">
      <alignment horizontal="center" vertical="center"/>
    </xf>
    <xf numFmtId="0" fontId="21" fillId="5" borderId="6" xfId="0" applyFont="1" applyFill="1" applyBorder="1" applyAlignment="1">
      <alignment horizontal="center" vertical="center"/>
    </xf>
    <xf numFmtId="3" fontId="13" fillId="5" borderId="6" xfId="0" applyNumberFormat="1" applyFont="1" applyFill="1" applyBorder="1" applyAlignment="1">
      <alignment horizontal="center" vertical="center"/>
    </xf>
    <xf numFmtId="0" fontId="4" fillId="0" borderId="6" xfId="1" applyFont="1" applyBorder="1" applyAlignment="1">
      <alignment horizontal="center" vertical="center"/>
    </xf>
    <xf numFmtId="0" fontId="13" fillId="5" borderId="19" xfId="1" applyFont="1" applyFill="1" applyBorder="1" applyAlignment="1">
      <alignment horizontal="center" vertical="center"/>
    </xf>
    <xf numFmtId="0" fontId="3" fillId="0" borderId="0" xfId="1" applyFont="1" applyAlignment="1">
      <alignment horizontal="center" vertical="center"/>
    </xf>
    <xf numFmtId="0" fontId="1" fillId="0" borderId="17" xfId="1" applyFont="1" applyBorder="1" applyAlignment="1">
      <alignment horizontal="center" vertical="center"/>
    </xf>
    <xf numFmtId="0" fontId="1" fillId="0" borderId="5" xfId="1" applyFont="1" applyBorder="1" applyAlignment="1">
      <alignment vertical="center"/>
    </xf>
    <xf numFmtId="0" fontId="1" fillId="0" borderId="5" xfId="1" applyFont="1" applyBorder="1" applyAlignment="1">
      <alignment horizontal="center" vertical="center"/>
    </xf>
    <xf numFmtId="0" fontId="15" fillId="2" borderId="5" xfId="1" applyFont="1" applyFill="1" applyBorder="1" applyAlignment="1">
      <alignment horizontal="center" vertical="center"/>
    </xf>
    <xf numFmtId="0" fontId="14" fillId="0" borderId="5" xfId="1" applyFont="1" applyBorder="1" applyAlignment="1">
      <alignment horizontal="center" vertical="center"/>
    </xf>
    <xf numFmtId="4" fontId="1" fillId="0" borderId="5" xfId="1" applyNumberFormat="1" applyFont="1" applyBorder="1" applyAlignment="1">
      <alignment horizontal="center" vertical="center"/>
    </xf>
    <xf numFmtId="14" fontId="1" fillId="0" borderId="5" xfId="1" applyNumberFormat="1" applyFont="1" applyBorder="1" applyAlignment="1">
      <alignment horizontal="center" vertical="center"/>
    </xf>
    <xf numFmtId="166" fontId="3" fillId="0" borderId="10" xfId="1" applyNumberFormat="1" applyFont="1" applyBorder="1" applyAlignment="1">
      <alignment horizontal="center" vertical="center"/>
    </xf>
    <xf numFmtId="0" fontId="15" fillId="0" borderId="5" xfId="1" applyFont="1" applyBorder="1" applyAlignment="1">
      <alignment horizontal="center" vertical="center"/>
    </xf>
    <xf numFmtId="43" fontId="14" fillId="0" borderId="5" xfId="3" applyFont="1" applyFill="1" applyBorder="1" applyAlignment="1">
      <alignment horizontal="center" vertical="center"/>
    </xf>
    <xf numFmtId="0" fontId="1" fillId="7" borderId="5" xfId="1" applyFont="1" applyFill="1" applyBorder="1" applyAlignment="1">
      <alignment horizontal="center" vertical="center"/>
    </xf>
    <xf numFmtId="43" fontId="14" fillId="0" borderId="5" xfId="1" applyNumberFormat="1" applyFont="1" applyBorder="1" applyAlignment="1">
      <alignment horizontal="center" vertical="center"/>
    </xf>
    <xf numFmtId="166" fontId="1" fillId="0" borderId="10" xfId="1" applyNumberFormat="1" applyFont="1" applyBorder="1" applyAlignment="1">
      <alignment vertical="center"/>
    </xf>
    <xf numFmtId="0" fontId="1" fillId="0" borderId="0" xfId="1" applyFont="1" applyAlignment="1">
      <alignment vertical="center"/>
    </xf>
    <xf numFmtId="15" fontId="1" fillId="7" borderId="5" xfId="1" applyNumberFormat="1" applyFont="1" applyFill="1" applyBorder="1" applyAlignment="1">
      <alignment horizontal="center" vertical="center"/>
    </xf>
    <xf numFmtId="0" fontId="16" fillId="0" borderId="9" xfId="0" applyFont="1" applyBorder="1" applyAlignment="1">
      <alignment horizontal="center"/>
    </xf>
    <xf numFmtId="0" fontId="16" fillId="0" borderId="8" xfId="0" applyFont="1" applyBorder="1" applyAlignment="1">
      <alignment horizontal="left"/>
    </xf>
    <xf numFmtId="0" fontId="1" fillId="0" borderId="8" xfId="1" applyFont="1" applyBorder="1" applyAlignment="1">
      <alignment horizontal="center" vertical="center"/>
    </xf>
    <xf numFmtId="0" fontId="16" fillId="0" borderId="8" xfId="0" applyFont="1" applyBorder="1" applyAlignment="1">
      <alignment horizontal="center"/>
    </xf>
    <xf numFmtId="0" fontId="5" fillId="0" borderId="8" xfId="0" applyFont="1" applyBorder="1" applyAlignment="1">
      <alignment horizontal="center"/>
    </xf>
    <xf numFmtId="4" fontId="16" fillId="0" borderId="8" xfId="0" applyNumberFormat="1" applyFont="1" applyBorder="1" applyAlignment="1">
      <alignment horizontal="center"/>
    </xf>
    <xf numFmtId="4" fontId="1" fillId="0" borderId="8" xfId="1" applyNumberFormat="1" applyFont="1" applyBorder="1" applyAlignment="1">
      <alignment horizontal="center" vertical="center"/>
    </xf>
    <xf numFmtId="14" fontId="1" fillId="0" borderId="8" xfId="1" applyNumberFormat="1" applyFont="1" applyBorder="1" applyAlignment="1">
      <alignment horizontal="center" vertical="center"/>
    </xf>
    <xf numFmtId="0" fontId="1" fillId="0" borderId="8" xfId="1" applyFont="1" applyBorder="1" applyAlignment="1">
      <alignment vertical="center"/>
    </xf>
    <xf numFmtId="166" fontId="1" fillId="0" borderId="15" xfId="1" applyNumberFormat="1" applyFont="1" applyBorder="1" applyAlignment="1">
      <alignment horizontal="center" vertical="center"/>
    </xf>
    <xf numFmtId="0" fontId="1" fillId="0" borderId="0" xfId="1" applyFont="1" applyAlignment="1">
      <alignment horizontal="center" vertical="center"/>
    </xf>
    <xf numFmtId="0" fontId="1" fillId="0" borderId="9" xfId="1" applyFont="1" applyBorder="1" applyAlignment="1">
      <alignment horizontal="center" vertical="center"/>
    </xf>
    <xf numFmtId="0" fontId="15" fillId="0" borderId="8" xfId="1" applyFont="1" applyBorder="1" applyAlignment="1">
      <alignment horizontal="center" vertical="center"/>
    </xf>
    <xf numFmtId="0" fontId="1" fillId="7" borderId="8" xfId="1" applyFont="1" applyFill="1" applyBorder="1" applyAlignment="1">
      <alignment horizontal="center" vertical="center"/>
    </xf>
    <xf numFmtId="0" fontId="1" fillId="0" borderId="8" xfId="1" applyFont="1" applyBorder="1" applyAlignment="1">
      <alignment horizontal="center"/>
    </xf>
    <xf numFmtId="166" fontId="1" fillId="0" borderId="15" xfId="1" applyNumberFormat="1" applyFont="1" applyBorder="1" applyAlignment="1">
      <alignment vertical="center"/>
    </xf>
    <xf numFmtId="0" fontId="14" fillId="0" borderId="1" xfId="1" applyFont="1" applyBorder="1" applyAlignment="1">
      <alignment horizontal="center" vertical="center"/>
    </xf>
    <xf numFmtId="0" fontId="14" fillId="0" borderId="1" xfId="1" applyFont="1" applyBorder="1" applyAlignment="1">
      <alignment horizontal="left" vertical="center"/>
    </xf>
    <xf numFmtId="0" fontId="15" fillId="0" borderId="1" xfId="1" applyFont="1" applyBorder="1" applyAlignment="1">
      <alignment horizontal="center" vertical="center"/>
    </xf>
    <xf numFmtId="43" fontId="14" fillId="0" borderId="1" xfId="1" applyNumberFormat="1" applyFont="1" applyBorder="1" applyAlignment="1">
      <alignment horizontal="center" vertical="center"/>
    </xf>
    <xf numFmtId="0" fontId="14" fillId="0" borderId="8" xfId="1" applyFont="1" applyBorder="1" applyAlignment="1">
      <alignment horizontal="center" vertical="center"/>
    </xf>
    <xf numFmtId="4" fontId="19" fillId="0" borderId="8" xfId="0" applyNumberFormat="1" applyFont="1" applyBorder="1" applyAlignment="1">
      <alignment horizontal="center"/>
    </xf>
    <xf numFmtId="0" fontId="1" fillId="0" borderId="5" xfId="1" applyFont="1" applyBorder="1" applyAlignment="1">
      <alignment horizontal="center"/>
    </xf>
  </cellXfs>
  <cellStyles count="5">
    <cellStyle name="Comma" xfId="4" builtinId="3"/>
    <cellStyle name="Comma 2" xfId="3" xr:uid="{34D58F8B-F197-4256-89BC-A3EE50A6AA5A}"/>
    <cellStyle name="Hyperlink 2" xfId="2" xr:uid="{BC09F5E3-B7AE-44FF-87EB-108EC70403F6}"/>
    <cellStyle name="Normal" xfId="0" builtinId="0"/>
    <cellStyle name="Normal 2" xfId="1" xr:uid="{F0D7A549-D3E5-4F84-8A90-FC8753CBC26D}"/>
  </cellStyles>
  <dxfs count="102">
    <dxf>
      <font>
        <color theme="1"/>
      </font>
      <fill>
        <patternFill patternType="solid">
          <bgColor rgb="FFFFF0BF"/>
        </patternFill>
      </fill>
    </dxf>
    <dxf>
      <font>
        <color theme="1"/>
      </font>
      <fill>
        <patternFill patternType="solid">
          <bgColor rgb="FFC6EFCE"/>
        </patternFill>
      </fill>
    </dxf>
    <dxf>
      <font>
        <color theme="1"/>
      </font>
      <fill>
        <patternFill patternType="solid">
          <bgColor rgb="FFFFF0BF"/>
        </patternFill>
      </fill>
    </dxf>
    <dxf>
      <font>
        <color theme="1"/>
      </font>
      <fill>
        <patternFill patternType="solid">
          <bgColor rgb="FFFFF0BF"/>
        </patternFill>
      </fill>
    </dxf>
    <dxf>
      <font>
        <color theme="1"/>
      </font>
      <fill>
        <patternFill patternType="solid">
          <bgColor rgb="FFFFF0BF"/>
        </patternFill>
      </fill>
    </dxf>
    <dxf>
      <font>
        <color theme="1"/>
      </font>
      <fill>
        <patternFill patternType="solid">
          <bgColor rgb="FFC6EFCE"/>
        </patternFill>
      </fill>
    </dxf>
    <dxf>
      <font>
        <color theme="1"/>
      </font>
      <fill>
        <patternFill patternType="solid">
          <bgColor rgb="FFFFF0BF"/>
        </patternFill>
      </fill>
    </dxf>
    <dxf>
      <font>
        <color theme="1"/>
      </font>
      <fill>
        <patternFill patternType="solid">
          <bgColor rgb="FFFFF0BF"/>
        </patternFill>
      </fill>
    </dxf>
    <dxf>
      <font>
        <color theme="1"/>
      </font>
      <fill>
        <patternFill patternType="solid">
          <bgColor rgb="FFC6EFCE"/>
        </patternFill>
      </fill>
    </dxf>
    <dxf>
      <fill>
        <patternFill>
          <bgColor theme="9" tint="0.39994506668294322"/>
        </patternFill>
      </fill>
    </dxf>
    <dxf>
      <fill>
        <patternFill patternType="solid">
          <bgColor rgb="FFFFF0BF"/>
        </patternFill>
      </fill>
    </dxf>
    <dxf>
      <font>
        <color theme="1"/>
      </font>
      <fill>
        <patternFill patternType="solid">
          <bgColor rgb="FFC6EFCE"/>
        </patternFill>
      </fill>
    </dxf>
    <dxf>
      <font>
        <color theme="1"/>
      </font>
      <fill>
        <patternFill patternType="solid">
          <bgColor rgb="FFFFF0BF"/>
        </patternFill>
      </fill>
    </dxf>
    <dxf>
      <fill>
        <patternFill patternType="solid">
          <bgColor rgb="FFFFF0BF"/>
        </patternFill>
      </fill>
    </dxf>
    <dxf>
      <font>
        <color theme="1"/>
      </font>
      <fill>
        <patternFill patternType="solid">
          <bgColor rgb="FFC6EFCE"/>
        </patternFill>
      </fill>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1"/>
      </font>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1"/>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1"/>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numFmt numFmtId="35" formatCode="_(* #,##0.00_);_(* \(#,##0.00\);_(* &quot;-&quot;??_);_(@_)"/>
      <alignment horizontal="right"/>
    </dxf>
    <dxf>
      <font>
        <sz val="11"/>
      </font>
    </dxf>
    <dxf>
      <font>
        <sz val="11"/>
      </font>
    </dxf>
    <dxf>
      <font>
        <sz val="11"/>
      </font>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b/>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fill>
        <patternFill patternType="none"/>
      </fill>
      <alignment horizontal="general" vertical="top"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1"/>
      </font>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1"/>
      </font>
      <alignment horizontal="center" vertic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minor"/>
      </font>
      <numFmt numFmtId="165" formatCode="dd\-mmm\-yy"/>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minor"/>
      </font>
      <numFmt numFmtId="165" formatCode="dd\-mmm\-yy"/>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minor"/>
      </font>
      <numFmt numFmtId="165" formatCode="dd\-mmm\-yy"/>
      <fill>
        <patternFill patternType="solid">
          <fgColor indexed="64"/>
          <bgColor theme="6" tint="0.399975585192419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5" formatCode="_(* #,##0.00_);_(* \(#,##0.00\);_(* &quot;-&quot;??_);_(@_)"/>
      <fill>
        <patternFill patternType="none"/>
      </fill>
      <alignment horizontal="righ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 formatCode="0.00"/>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 formatCode="0.00"/>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 formatCode="0.00"/>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 formatCode="0.00"/>
      <alignment horizontal="center" vertical="top"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wrapText="0"/>
    </dxf>
    <dxf>
      <border>
        <bottom style="thin">
          <color rgb="FF000000"/>
        </bottom>
      </border>
    </dxf>
    <dxf>
      <alignment wrapText="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Aptos Narrow"/>
        <family val="2"/>
        <scheme val="minor"/>
      </font>
      <numFmt numFmtId="165"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166" formatCode="[$-409]d\-mmm\-yyyy;@"/>
      <alignment horizontal="general"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fill>
        <patternFill patternType="solid">
          <fgColor indexed="64"/>
          <bgColor theme="6" tint="0.399975585192419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fill>
        <patternFill patternType="solid">
          <fgColor indexed="64"/>
          <bgColor theme="6" tint="0.399975585192419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fill>
        <patternFill patternType="solid">
          <fgColor indexed="64"/>
          <bgColor theme="6" tint="0.399975585192419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numFmt numFmtId="4" formatCode="#,##0.0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wrapText="0"/>
    </dxf>
    <dxf>
      <border>
        <bottom style="thin">
          <color rgb="FF000000"/>
        </bottom>
      </border>
    </dxf>
    <dxf>
      <font>
        <b/>
        <i val="0"/>
        <strike val="0"/>
        <condense val="0"/>
        <extend val="0"/>
        <outline val="0"/>
        <shadow val="0"/>
        <u val="none"/>
        <vertAlign val="baseline"/>
        <sz val="12"/>
        <color auto="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FFF0BF"/>
      <color rgb="FFFFF8D1"/>
      <color rgb="FFFFFBDE"/>
      <color rgb="FFFFFF99"/>
      <color rgb="FFFAECA0"/>
      <color rgb="FFF5E8A2"/>
      <color rgb="FFF2E6A0"/>
      <color rgb="FFF2EEA0"/>
      <color rgb="FFF2E0A0"/>
      <color rgb="FFEDD9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nagaconsultants-my.sharepoint.com/personal/mlagmay_naga_ae/Documents/Mae/1_LOA%20Tracking%20Sheet.xlsx" TargetMode="External"/><Relationship Id="rId1" Type="http://schemas.openxmlformats.org/officeDocument/2006/relationships/externalLinkPath" Target="https://nagaconsultants-my.sharepoint.com/personal/mlagmay_naga_ae/Documents/Mae/1_LOA%20Tracking%20Sheet.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Business-Process-Flowchart-Template2"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IC-Towing-Invoice-Templa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15"/>
      <sheetName val="2019"/>
      <sheetName val="2020"/>
      <sheetName val="2021"/>
      <sheetName val="2022"/>
      <sheetName val="2023"/>
      <sheetName val="2024"/>
      <sheetName val="Help."/>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Process Flowchar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ing Invoice"/>
      <sheetName val="- Disclaimer -"/>
    </sheetNames>
    <sheetDataSet>
      <sheetData sheetId="0"/>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3B5BAF-79E9-408E-9FBA-DBA9EDF9756D}" name="Table2" displayName="Table2" ref="A1:T229" totalsRowShown="0" headerRowDxfId="80" dataDxfId="79">
  <autoFilter ref="A1:T229" xr:uid="{443B5BAF-79E9-408E-9FBA-DBA9EDF9756D}"/>
  <tableColumns count="20">
    <tableColumn id="1" xr3:uid="{400C3529-A422-4BC4-90C3-FEB20AC1797B}" name="Project Number" dataDxfId="78"/>
    <tableColumn id="2" xr3:uid="{366A3A25-9BBA-449D-B201-A3043970E8AB}" name="Project Name" dataDxfId="77"/>
    <tableColumn id="3" xr3:uid="{91B1E516-281D-4630-9A8F-87E8B040A109}" name="Client Name" dataDxfId="76"/>
    <tableColumn id="4" xr3:uid="{91E56E1F-F36D-4FB8-9885-2C3F9D03273F}" name="Project Manager" dataDxfId="75"/>
    <tableColumn id="5" xr3:uid="{7682D555-9F86-4E4D-A86A-CD13D7104C14}" name="Location" dataDxfId="74"/>
    <tableColumn id="6" xr3:uid="{8923D1AC-A3DF-40F6-8E44-E97FBBEE7D36}" name="Currency" dataDxfId="73"/>
    <tableColumn id="7" xr3:uid="{DD6B63CB-911C-48BD-9194-A4BFF2CC8E5C}" name="Total Contract Value" dataDxfId="72"/>
    <tableColumn id="8" xr3:uid="{4E369531-CB3B-47AD-BFE1-6CA17C9F9A9A}" name="Signed Contract/ LOA" dataDxfId="71"/>
    <tableColumn id="9" xr3:uid="{26C74F33-EE96-4254-A926-DDF04EEE0726}" name="Award (Contracts)" dataDxfId="70"/>
    <tableColumn id="10" xr3:uid="{FEB7EF2A-832C-45DB-A490-CFCA9AEB3565}" name="Form of Contract (Contracts)" dataDxfId="69"/>
    <tableColumn id="11" xr3:uid="{48317701-840F-4C97-8ACE-52530337EAF5}" name="Issue (Contracts)" dataDxfId="68"/>
    <tableColumn id="12" xr3:uid="{3C8A890D-B78E-44C4-917C-CD94C404F532}" name="Technical Review (PM)" dataDxfId="67"/>
    <tableColumn id="13" xr3:uid="{40ABBABE-7FC5-4C95-8765-F8C76AD0315A}" name="Commercial Review (Finance)" dataDxfId="66"/>
    <tableColumn id="14" xr3:uid="{F173C6AE-F7C5-4DEF-8C0D-D48CECBB6A1D}" name="Submitted to Dr. Shams for Signature (Contracts)" dataDxfId="65"/>
    <tableColumn id="15" xr3:uid="{ECB23C45-F3FB-483A-9B80-D921206F3FCB}" name="Signed by Dr. Shams (Contracts)" dataDxfId="64"/>
    <tableColumn id="16" xr3:uid="{2DD35E3A-FEF2-4AE7-A5A9-FFD9A0C799D2}" name="Submitted for Client Signature (Contracts)" dataDxfId="63"/>
    <tableColumn id="17" xr3:uid="{4ED67BFE-5439-470E-A66A-818477679A35}" name="Signed Contract Collected (Contracts)" dataDxfId="62"/>
    <tableColumn id="18" xr3:uid="{B6A0C4C3-465C-4358-9D9B-B0A72F307302}" name="Remarks" dataDxfId="61"/>
    <tableColumn id="19" xr3:uid="{1FD732C6-B42B-446A-9D00-62438CA7E319}" name="Year" dataDxfId="60">
      <calculatedColumnFormula>IFERROR(2000+VALUE(LEFT(A2,2)),"")</calculatedColumnFormula>
    </tableColumn>
    <tableColumn id="20" xr3:uid="{07B90A7F-415D-4995-94EA-411BC7FAD76F}" name="Date" dataDxfId="5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4E4FF3-1BEB-4EE0-83CD-6FBDD6B45855}" name="Table1" displayName="Table1" ref="A1:R638" totalsRowShown="0" headerRowDxfId="58" dataDxfId="56" headerRowBorderDxfId="57" tableBorderDxfId="55" totalsRowBorderDxfId="54">
  <autoFilter ref="A1:R638" xr:uid="{0F4E4FF3-1BEB-4EE0-83CD-6FBDD6B45855}">
    <filterColumn colId="14">
      <filters>
        <filter val="Open Not Invoiced"/>
      </filters>
    </filterColumn>
    <filterColumn colId="15">
      <filters>
        <filter val="Amount is not right ,  have to recheck it"/>
        <filter val="Awaiting client approval"/>
        <filter val="Awaiting customer signature"/>
        <filter val="Awaiting customer signature, last reminder on  9-Jun and the client isa waiting the VO with Wasl format"/>
        <filter val="Awaiting Retal template to issue VO, last follow up was 12-Jun-26"/>
        <filter val="closed"/>
        <filter val="Closed as per Receivables"/>
        <filter val="Follow up with client"/>
        <filter val="Followed up with Mousa"/>
        <filter val="Invoiced 50% Variation on 25-7-25"/>
        <filter val="Invoiced only 70% and paid, remaining 54000 to be invoiced"/>
        <filter val="its 40,000 in 18 months total 720,000"/>
        <filter val="Not approved, work didn't commence"/>
        <filter val="Not yet in supervision"/>
        <filter val="On hold"/>
        <filter val="On hold due to agreement / under discussion with client"/>
        <filter val="On-Hold"/>
        <filter val="Paid in full"/>
        <filter val="Paid in full , also TBC with finance as the amount was higher"/>
        <filter val="Paid in full, latest in 1-Apr-26"/>
        <filter val="Pending submission upon issuance of the main contract"/>
        <filter val="Pending submission upon issuance of the main contract , last reminder sent to client on 9-jun-26"/>
        <filter val="Pending with PM - the amount is approved and will invoice the VO after SD submission"/>
        <filter val="Signed by Naga only"/>
        <filter val="Signed not invoiced"/>
        <filter val="Signed not invoiced, should be invoiced"/>
        <filter val="Signed, not invoiced"/>
        <filter val="Supervision"/>
        <filter val="To be invoiced"/>
        <filter val="To be invoiced (converted to contract 3: south villas)"/>
        <filter val="To be invoiced upon instructions"/>
        <filter val="To be invoiced upon PM instructions"/>
        <filter val="To be invoiced upon PM instructions Supervision"/>
        <filter val="To be submitted to client"/>
        <filter val="To be submitted to client upon instructions"/>
        <filter val="Under review"/>
        <filter val="Under review by Mr Halaby &amp; Khrepy"/>
        <filter val="Vo Amount is not finalized yet"/>
        <filter val="VO during construction"/>
        <filter val="VO is not signed yet, this VO amount was included in agreement 176K+148K=324,800"/>
        <filter val="Vo signed by Naga only"/>
        <filter val="Voided / To be submitted to client upon instructions"/>
      </filters>
    </filterColumn>
  </autoFilter>
  <tableColumns count="18">
    <tableColumn id="1" xr3:uid="{7A25582F-5D52-4705-B4B4-618A7E2C97BC}" name="Project No" dataDxfId="53"/>
    <tableColumn id="2" xr3:uid="{267444D8-8BBF-4D4E-9C6E-00FB3C7A783E}" name="Project Name" dataDxfId="52"/>
    <tableColumn id="3" xr3:uid="{C88B8BB5-969E-4AD3-BA3F-6A729A12BD77}" name="Project Manager" dataDxfId="51"/>
    <tableColumn id="18" xr3:uid="{1CED77C5-BA21-4DDB-B00C-88A4C5843E5F}" name="VO.No." dataDxfId="50"/>
    <tableColumn id="4" xr3:uid="{DAF90615-7EE3-4DC1-81DE-0F1E1BCA0CD7}" name="Description" dataDxfId="49"/>
    <tableColumn id="5" xr3:uid="{071D5F19-8868-4FC0-B5E5-464C6EEA2411}" name="Currency" dataDxfId="48"/>
    <tableColumn id="6" xr3:uid="{0DA277B7-77BF-40DA-AADF-E04F60F0B034}" name="Amount" dataDxfId="47"/>
    <tableColumn id="7" xr3:uid="{AB50A589-2339-4BB3-A4A9-8D6A0885A32D}" name=" VO Status" dataDxfId="46"/>
    <tableColumn id="8" xr3:uid="{ED83E903-7C69-48B9-ABB2-9C1E47E61DDF}" name="Issuance Request (PM)" dataDxfId="45"/>
    <tableColumn id="9" xr3:uid="{093DC0FF-D35D-4A01-BC1A-F23B2C2BB3F1}" name="Review (Contracts)" dataDxfId="44"/>
    <tableColumn id="10" xr3:uid="{EE9AC472-345E-46A3-B078-AC946711BD8B}" name="Approval (Finance)" dataDxfId="43"/>
    <tableColumn id="11" xr3:uid="{14BEF70F-5376-4C46-8160-EB37867B4C93}" name="Submit For client Signature (PM)" dataDxfId="42"/>
    <tableColumn id="12" xr3:uid="{84225D38-DED1-45F1-92C2-EB81C2B655F6}" name="VO Work Status (PM)" dataDxfId="41"/>
    <tableColumn id="13" xr3:uid="{679BDA42-9FCD-44FA-83D6-41D1B3DF0F24}" name="Invoice (Finance)" dataDxfId="40"/>
    <tableColumn id="14" xr3:uid="{8A945CD0-6090-4DDF-8DA4-2BB1B4B88C6C}" name="Invoice  Status (Receivables)" dataDxfId="39"/>
    <tableColumn id="15" xr3:uid="{9B14C107-1E8F-4052-AB1C-CE2303B73E2E}" name="Remarks" dataDxfId="38"/>
    <tableColumn id="16" xr3:uid="{B24291C6-D329-455D-ADB1-63BE9B94186E}" name="Year" dataDxfId="37">
      <calculatedColumnFormula>IFERROR(2000+VALUE(LEFT(A2,2)),"")</calculatedColumnFormula>
    </tableColumn>
    <tableColumn id="17" xr3:uid="{94C09602-7761-46D1-806E-B597C53A4751}" name="Da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F8BDC7-0906-4BC9-85D3-C2C565BDEFAE}" name="Table3" displayName="Table3" ref="A1:P27" totalsRowShown="0" headerRowDxfId="101" dataDxfId="99" headerRowBorderDxfId="100" tableBorderDxfId="98" totalsRowBorderDxfId="97">
  <autoFilter ref="A1:P27" xr:uid="{B7F8BDC7-0906-4BC9-85D3-C2C565BDEFAE}"/>
  <tableColumns count="16">
    <tableColumn id="1" xr3:uid="{7E5D6206-900D-4784-AA52-91B59699E3A6}" name="Project No" dataDxfId="96" dataCellStyle="Normal 2"/>
    <tableColumn id="2" xr3:uid="{AD6BED68-B59C-4DF5-AD7A-97AA737A679D}" name="Project Name" dataDxfId="95" dataCellStyle="Normal 2"/>
    <tableColumn id="3" xr3:uid="{57429676-3846-45AF-81A9-EEF454CA193E}" name="Project Manager" dataDxfId="94" dataCellStyle="Normal 2"/>
    <tableColumn id="4" xr3:uid="{4986E002-FD39-4B52-B75E-1FD55E3FDC53}" name="Subcon" dataDxfId="93" dataCellStyle="Normal 2"/>
    <tableColumn id="5" xr3:uid="{45DC81CA-5A66-4205-B994-27B4CC317B35}" name="Description" dataDxfId="92" dataCellStyle="Normal 2"/>
    <tableColumn id="6" xr3:uid="{98BA26A9-EAD8-4DDC-946F-44EA5AA38F32}" name="Currency" dataDxfId="91" dataCellStyle="Normal 2"/>
    <tableColumn id="7" xr3:uid="{865C3A80-AF11-4D23-810D-D30458202619}" name="Amount" dataDxfId="90" dataCellStyle="Normal 2"/>
    <tableColumn id="8" xr3:uid="{13E0C199-4FF0-49BF-AB3A-0E7A7E1DF702}" name="Status" dataDxfId="89"/>
    <tableColumn id="9" xr3:uid="{42818E89-C3DD-42BC-9F72-613E8DE10E5B}" name="Issuance Request (PM)" dataDxfId="88" dataCellStyle="Normal 2"/>
    <tableColumn id="10" xr3:uid="{8B9A3865-3574-484D-995D-F3CA9AF6A584}" name="Review (Contracts)" dataDxfId="87" dataCellStyle="Normal 2"/>
    <tableColumn id="11" xr3:uid="{977AE435-42DC-4800-9208-AD203985E038}" name="Approval (Finance/Technical)" dataDxfId="86" dataCellStyle="Normal 2"/>
    <tableColumn id="12" xr3:uid="{99ABAEBE-CBC8-47C8-9A8F-659E83826F30}" name="Submit For client Signature (PM)" dataDxfId="85" dataCellStyle="Normal 2"/>
    <tableColumn id="13" xr3:uid="{DC846355-3542-44A5-B3F1-6AB94DE6B234}" name="Payment (Finance)" dataDxfId="84" dataCellStyle="Normal 2"/>
    <tableColumn id="14" xr3:uid="{765C1B35-23C1-4FAA-A093-1CFBAF514E03}" name="Remarks" dataDxfId="83"/>
    <tableColumn id="15" xr3:uid="{10FFA447-5EEA-44AE-8396-FAE66E1D97B4}" name="Year" dataDxfId="82" dataCellStyle="Normal 2">
      <calculatedColumnFormula>IFERROR(2000 + VALUE(LEFT(A2,2)), "")</calculatedColumnFormula>
    </tableColumn>
    <tableColumn id="16" xr3:uid="{DA69F163-D3DA-4C83-B62D-185DB1979703}" name="Date" dataDxfId="81"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F22949-5A7A-4827-A076-AC563A4BB611}" name="Table4" displayName="Table4" ref="A1:S502" totalsRowShown="0" headerRowDxfId="35" dataDxfId="34">
  <autoFilter ref="A1:S502" xr:uid="{A4F22949-5A7A-4827-A076-AC563A4BB611}"/>
  <tableColumns count="19">
    <tableColumn id="1" xr3:uid="{B61E416C-9086-42D7-807D-89275AE30C39}" name="Project No" dataDxfId="33"/>
    <tableColumn id="2" xr3:uid="{50D0A946-EBFC-49C8-9B9F-2EED93FB83AB}" name="Project Name" dataDxfId="32"/>
    <tableColumn id="3" xr3:uid="{0A39A152-4DAA-48C9-8751-4CE29CF6C038}" name="Project Manager" dataDxfId="31"/>
    <tableColumn id="4" xr3:uid="{7BEC3747-86D4-4235-AD28-14712F65A0D6}" name="Supplier" dataDxfId="30"/>
    <tableColumn id="5" xr3:uid="{59EB7629-BA5B-4A0F-8D0F-5B42D018E4DA}" name="Description" dataDxfId="29"/>
    <tableColumn id="6" xr3:uid="{220E3884-C93C-42E1-BEBC-F954DAC90914}" name="Currency" dataDxfId="28"/>
    <tableColumn id="7" xr3:uid="{5E7B0201-883E-4C6C-AF3D-5670D1FBB908}" name="Amount" dataDxfId="27"/>
    <tableColumn id="8" xr3:uid="{4CCCDD9A-AFC2-4A7A-8304-E0A4C638582F}" name="Status" dataDxfId="26"/>
    <tableColumn id="9" xr3:uid="{6C2D41BD-00E0-4B1D-8236-703742154555}" name="Initial Request (PM)" dataDxfId="25"/>
    <tableColumn id="10" xr3:uid="{41C98E2E-4B72-420C-BF2E-5288BC22F2A2}" name="Collect 3  Quotations (Procurement)" dataDxfId="24"/>
    <tableColumn id="11" xr3:uid="{050A50B6-E92F-4F35-AA80-F384E857A7AC}" name="Evaluate the Quotations and share with PM (Procurement)" dataDxfId="23"/>
    <tableColumn id="12" xr3:uid="{26D605B3-DD68-45B1-BE41-0B604105E9F2}" name="Recommend one of the Quotations (PM)" dataDxfId="22"/>
    <tableColumn id="13" xr3:uid="{57B13F9E-7827-4B8B-857D-678B2DB73F1C}" name="Commercial Review (Finance)" dataDxfId="21"/>
    <tableColumn id="14" xr3:uid="{78BA4B70-5C54-4B96-8AD1-E532E46376AB}" name="Collect signed Quotation from Sub-Consultant (Contracts)" dataDxfId="20"/>
    <tableColumn id="15" xr3:uid="{733490AF-67F1-4CE0-9DF9-51B613F0CF3A}" name="Submit Quotation to Dr. Shams to sign (Contracts)" dataDxfId="19"/>
    <tableColumn id="16" xr3:uid="{5D29EC2C-C1ED-4B2A-91A0-C8DDEF3FF812}" name="Generate PO (Contracts)" dataDxfId="18"/>
    <tableColumn id="17" xr3:uid="{B7F05A64-7340-4C8D-8231-367D52C40662}" name="Remarks" dataDxfId="17"/>
    <tableColumn id="18" xr3:uid="{DA7577F6-AA15-4A6A-AC20-4E183A780DF0}" name="Year" dataDxfId="16"/>
    <tableColumn id="19" xr3:uid="{3D41049B-B203-4739-A602-128452FB2961}" name="Date" dataDxfId="1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0174-4F32-4C5D-B9F0-D9D52D9F166C}">
  <sheetPr codeName="Sheet1">
    <tabColor theme="5" tint="0.59999389629810485"/>
    <pageSetUpPr fitToPage="1"/>
  </sheetPr>
  <dimension ref="A1:Y229"/>
  <sheetViews>
    <sheetView tabSelected="1" zoomScale="55" zoomScaleNormal="55" workbookViewId="0">
      <pane xSplit="1" ySplit="1" topLeftCell="B2" activePane="bottomRight" state="frozen"/>
      <selection pane="topRight" activeCell="E1" sqref="E1"/>
      <selection pane="bottomLeft" activeCell="A6" sqref="A6"/>
      <selection pane="bottomRight"/>
    </sheetView>
  </sheetViews>
  <sheetFormatPr defaultColWidth="9.1796875" defaultRowHeight="14.5" x14ac:dyDescent="0.35"/>
  <cols>
    <col min="1" max="1" width="16.81640625" style="24" customWidth="1"/>
    <col min="2" max="2" width="56.26953125" style="24" customWidth="1"/>
    <col min="3" max="3" width="45.453125" style="10" customWidth="1"/>
    <col min="4" max="4" width="19.81640625" style="10" customWidth="1"/>
    <col min="5" max="5" width="6.26953125" style="3" customWidth="1"/>
    <col min="6" max="6" width="7.453125" style="3" customWidth="1"/>
    <col min="7" max="7" width="20.7265625" style="5" customWidth="1"/>
    <col min="8" max="8" width="9.81640625" style="1" customWidth="1"/>
    <col min="9" max="9" width="14.1796875" style="3" customWidth="1"/>
    <col min="10" max="10" width="17.1796875" style="3" customWidth="1"/>
    <col min="11" max="11" width="15.7265625" style="1" customWidth="1"/>
    <col min="12" max="12" width="15.1796875" style="1" customWidth="1"/>
    <col min="13" max="13" width="18.54296875" style="1" customWidth="1"/>
    <col min="14" max="14" width="15.26953125" style="1" customWidth="1"/>
    <col min="15" max="15" width="16.1796875" style="1" customWidth="1"/>
    <col min="16" max="16" width="13.1796875" style="1" customWidth="1"/>
    <col min="17" max="17" width="38.1796875" style="1" bestFit="1" customWidth="1"/>
    <col min="18" max="18" width="255.7265625" style="5" bestFit="1" customWidth="1"/>
    <col min="19" max="19" width="7.81640625" style="33" customWidth="1"/>
    <col min="20" max="20" width="13" style="1" customWidth="1"/>
    <col min="21" max="23" width="18.54296875" style="1" customWidth="1"/>
    <col min="24" max="24" width="2.54296875" style="1" customWidth="1"/>
    <col min="25" max="25" width="45.81640625" style="1" bestFit="1" customWidth="1"/>
    <col min="26" max="26" width="9.1796875" style="1" bestFit="1" customWidth="1"/>
    <col min="27" max="16384" width="9.1796875" style="1"/>
  </cols>
  <sheetData>
    <row r="1" spans="1:25" s="2" customFormat="1" ht="15.5" x14ac:dyDescent="0.35">
      <c r="A1" s="109" t="s">
        <v>0</v>
      </c>
      <c r="B1" s="110" t="s">
        <v>1</v>
      </c>
      <c r="C1" s="110" t="s">
        <v>2</v>
      </c>
      <c r="D1" s="109" t="s">
        <v>3</v>
      </c>
      <c r="E1" s="109" t="s">
        <v>4</v>
      </c>
      <c r="F1" s="109" t="s">
        <v>5</v>
      </c>
      <c r="G1" s="109" t="s">
        <v>6</v>
      </c>
      <c r="H1" s="109" t="s">
        <v>7</v>
      </c>
      <c r="I1" s="109" t="s">
        <v>8</v>
      </c>
      <c r="J1" s="109" t="s">
        <v>9</v>
      </c>
      <c r="K1" s="109" t="s">
        <v>10</v>
      </c>
      <c r="L1" s="109" t="s">
        <v>11</v>
      </c>
      <c r="M1" s="109" t="s">
        <v>12</v>
      </c>
      <c r="N1" s="109" t="s">
        <v>13</v>
      </c>
      <c r="O1" s="109" t="s">
        <v>14</v>
      </c>
      <c r="P1" s="109" t="s">
        <v>15</v>
      </c>
      <c r="Q1" s="185" t="s">
        <v>16</v>
      </c>
      <c r="R1" s="185" t="s">
        <v>17</v>
      </c>
      <c r="S1" s="161" t="s">
        <v>18</v>
      </c>
      <c r="T1" s="109" t="s">
        <v>19</v>
      </c>
    </row>
    <row r="2" spans="1:25" s="2" customFormat="1" ht="15.5" x14ac:dyDescent="0.35">
      <c r="A2" s="22" t="s">
        <v>20</v>
      </c>
      <c r="B2" s="23" t="s">
        <v>21</v>
      </c>
      <c r="C2" s="111" t="s">
        <v>22</v>
      </c>
      <c r="D2" s="22" t="s">
        <v>23</v>
      </c>
      <c r="E2" s="111" t="s">
        <v>24</v>
      </c>
      <c r="F2" s="112" t="s">
        <v>25</v>
      </c>
      <c r="G2" s="112">
        <v>50000</v>
      </c>
      <c r="H2" s="22" t="s">
        <v>26</v>
      </c>
      <c r="I2" s="152" t="s">
        <v>27</v>
      </c>
      <c r="J2" s="152" t="s">
        <v>28</v>
      </c>
      <c r="K2" s="153"/>
      <c r="L2" s="153"/>
      <c r="M2" s="153"/>
      <c r="N2" s="153"/>
      <c r="O2" s="153"/>
      <c r="P2" s="180"/>
      <c r="Q2" s="153"/>
      <c r="R2" s="154" t="s">
        <v>29</v>
      </c>
      <c r="S2" s="184">
        <f>IFERROR(2000+VALUE(LEFT(A2,2)),"")</f>
        <v>2026</v>
      </c>
      <c r="T2" s="153">
        <v>46113</v>
      </c>
      <c r="U2" s="1"/>
      <c r="V2" s="1"/>
      <c r="W2" s="1"/>
      <c r="X2" s="1"/>
      <c r="Y2" s="1"/>
    </row>
    <row r="3" spans="1:25" s="2" customFormat="1" ht="15.5" x14ac:dyDescent="0.35">
      <c r="A3" s="22" t="s">
        <v>30</v>
      </c>
      <c r="B3" s="23" t="s">
        <v>31</v>
      </c>
      <c r="C3" s="11" t="s">
        <v>32</v>
      </c>
      <c r="D3" s="22" t="s">
        <v>23</v>
      </c>
      <c r="E3" s="111" t="s">
        <v>24</v>
      </c>
      <c r="F3" s="112" t="s">
        <v>25</v>
      </c>
      <c r="G3" s="34">
        <v>200000</v>
      </c>
      <c r="H3" s="22" t="s">
        <v>26</v>
      </c>
      <c r="I3" s="152" t="s">
        <v>27</v>
      </c>
      <c r="J3" s="152" t="s">
        <v>28</v>
      </c>
      <c r="K3" s="153"/>
      <c r="L3" s="153"/>
      <c r="M3" s="153"/>
      <c r="N3" s="153"/>
      <c r="O3" s="153"/>
      <c r="P3" s="180"/>
      <c r="Q3" s="153"/>
      <c r="R3" s="154" t="s">
        <v>33</v>
      </c>
      <c r="S3" s="184">
        <f>IFERROR(2000+VALUE(LEFT(A3,2)),"")</f>
        <v>2026</v>
      </c>
      <c r="T3" s="153">
        <v>46183</v>
      </c>
      <c r="U3" s="1"/>
      <c r="V3" s="1"/>
      <c r="W3" s="1"/>
      <c r="X3" s="1"/>
      <c r="Y3" s="1"/>
    </row>
    <row r="4" spans="1:25" s="2" customFormat="1" ht="15.5" x14ac:dyDescent="0.35">
      <c r="A4" s="6" t="s">
        <v>34</v>
      </c>
      <c r="B4" s="11" t="s">
        <v>35</v>
      </c>
      <c r="C4" s="11" t="s">
        <v>36</v>
      </c>
      <c r="D4" s="22" t="s">
        <v>37</v>
      </c>
      <c r="E4" s="11" t="s">
        <v>24</v>
      </c>
      <c r="F4" s="34" t="s">
        <v>25</v>
      </c>
      <c r="G4" s="34">
        <v>2276292</v>
      </c>
      <c r="H4" s="22" t="s">
        <v>38</v>
      </c>
      <c r="I4" s="152" t="s">
        <v>27</v>
      </c>
      <c r="J4" s="152" t="s">
        <v>27</v>
      </c>
      <c r="K4" s="152" t="s">
        <v>27</v>
      </c>
      <c r="L4" s="152" t="s">
        <v>27</v>
      </c>
      <c r="M4" s="152" t="s">
        <v>27</v>
      </c>
      <c r="N4" s="152" t="s">
        <v>27</v>
      </c>
      <c r="O4" s="152" t="s">
        <v>27</v>
      </c>
      <c r="P4" s="152" t="s">
        <v>27</v>
      </c>
      <c r="Q4" s="190" t="s">
        <v>27</v>
      </c>
      <c r="R4" s="191"/>
      <c r="S4" s="33">
        <v>2026</v>
      </c>
      <c r="T4" s="153"/>
      <c r="U4" s="1"/>
      <c r="V4" s="1"/>
      <c r="W4" s="1"/>
      <c r="X4" s="1"/>
      <c r="Y4" s="1"/>
    </row>
    <row r="5" spans="1:25" s="2" customFormat="1" ht="15.5" x14ac:dyDescent="0.35">
      <c r="A5" s="22" t="s">
        <v>39</v>
      </c>
      <c r="B5" s="23" t="s">
        <v>40</v>
      </c>
      <c r="C5" s="11" t="s">
        <v>41</v>
      </c>
      <c r="D5" s="6" t="s">
        <v>42</v>
      </c>
      <c r="E5" s="11" t="s">
        <v>43</v>
      </c>
      <c r="F5" s="34" t="s">
        <v>44</v>
      </c>
      <c r="G5" s="34">
        <v>2992500</v>
      </c>
      <c r="H5" s="22" t="s">
        <v>38</v>
      </c>
      <c r="I5" s="152" t="s">
        <v>27</v>
      </c>
      <c r="J5" s="152" t="s">
        <v>27</v>
      </c>
      <c r="K5" s="152" t="s">
        <v>27</v>
      </c>
      <c r="L5" s="152" t="s">
        <v>27</v>
      </c>
      <c r="M5" s="152" t="s">
        <v>27</v>
      </c>
      <c r="N5" s="152" t="s">
        <v>27</v>
      </c>
      <c r="O5" s="152" t="s">
        <v>27</v>
      </c>
      <c r="P5" s="152" t="s">
        <v>27</v>
      </c>
      <c r="Q5" s="152" t="s">
        <v>27</v>
      </c>
      <c r="R5" s="22"/>
      <c r="S5" s="33">
        <v>2026</v>
      </c>
      <c r="T5" s="153"/>
      <c r="U5" s="1"/>
      <c r="V5" s="1"/>
      <c r="W5" s="1"/>
      <c r="X5" s="1"/>
      <c r="Y5" s="1"/>
    </row>
    <row r="6" spans="1:25" s="2" customFormat="1" ht="15.5" x14ac:dyDescent="0.35">
      <c r="A6" s="22" t="s">
        <v>45</v>
      </c>
      <c r="B6" s="23" t="s">
        <v>46</v>
      </c>
      <c r="C6" s="11" t="s">
        <v>47</v>
      </c>
      <c r="D6" s="22" t="s">
        <v>48</v>
      </c>
      <c r="E6" s="11" t="s">
        <v>24</v>
      </c>
      <c r="F6" s="34" t="s">
        <v>25</v>
      </c>
      <c r="G6" s="34">
        <v>265000</v>
      </c>
      <c r="H6" s="22" t="s">
        <v>38</v>
      </c>
      <c r="I6" s="152" t="s">
        <v>27</v>
      </c>
      <c r="J6" s="152" t="s">
        <v>27</v>
      </c>
      <c r="K6" s="152" t="s">
        <v>27</v>
      </c>
      <c r="L6" s="152" t="s">
        <v>27</v>
      </c>
      <c r="M6" s="152" t="s">
        <v>27</v>
      </c>
      <c r="N6" s="152" t="s">
        <v>27</v>
      </c>
      <c r="O6" s="152" t="s">
        <v>27</v>
      </c>
      <c r="P6" s="152" t="s">
        <v>27</v>
      </c>
      <c r="Q6" s="152" t="s">
        <v>27</v>
      </c>
      <c r="R6" s="22"/>
      <c r="S6" s="33">
        <v>2026</v>
      </c>
      <c r="T6" s="153"/>
      <c r="U6" s="1"/>
      <c r="V6" s="1"/>
      <c r="W6" s="1"/>
      <c r="X6" s="1"/>
      <c r="Y6" s="1"/>
    </row>
    <row r="7" spans="1:25" s="2" customFormat="1" ht="15.5" x14ac:dyDescent="0.35">
      <c r="A7" s="22" t="s">
        <v>49</v>
      </c>
      <c r="B7" s="23" t="s">
        <v>50</v>
      </c>
      <c r="C7" s="11" t="s">
        <v>51</v>
      </c>
      <c r="D7" s="22" t="s">
        <v>37</v>
      </c>
      <c r="E7" s="11" t="s">
        <v>52</v>
      </c>
      <c r="F7" s="34" t="s">
        <v>53</v>
      </c>
      <c r="G7" s="34">
        <v>150000</v>
      </c>
      <c r="H7" s="22" t="s">
        <v>38</v>
      </c>
      <c r="I7" s="152" t="s">
        <v>27</v>
      </c>
      <c r="J7" s="152" t="s">
        <v>27</v>
      </c>
      <c r="K7" s="152" t="s">
        <v>27</v>
      </c>
      <c r="L7" s="152" t="s">
        <v>27</v>
      </c>
      <c r="M7" s="152" t="s">
        <v>27</v>
      </c>
      <c r="N7" s="152" t="s">
        <v>27</v>
      </c>
      <c r="O7" s="152" t="s">
        <v>27</v>
      </c>
      <c r="P7" s="152" t="s">
        <v>27</v>
      </c>
      <c r="Q7" s="186" t="s">
        <v>27</v>
      </c>
      <c r="R7" s="187"/>
      <c r="S7" s="33">
        <v>2026</v>
      </c>
      <c r="T7" s="153"/>
      <c r="U7" s="1"/>
      <c r="V7" s="1"/>
      <c r="W7" s="1"/>
      <c r="X7" s="1"/>
      <c r="Y7" s="1"/>
    </row>
    <row r="8" spans="1:25" s="2" customFormat="1" ht="15.5" x14ac:dyDescent="0.35">
      <c r="A8" s="22" t="s">
        <v>54</v>
      </c>
      <c r="B8" s="23" t="s">
        <v>55</v>
      </c>
      <c r="C8" s="11" t="s">
        <v>56</v>
      </c>
      <c r="D8" s="22" t="s">
        <v>23</v>
      </c>
      <c r="E8" s="111" t="s">
        <v>24</v>
      </c>
      <c r="F8" s="112" t="s">
        <v>25</v>
      </c>
      <c r="G8" s="34">
        <v>2253000</v>
      </c>
      <c r="H8" s="22" t="s">
        <v>26</v>
      </c>
      <c r="I8" s="155" t="s">
        <v>28</v>
      </c>
      <c r="J8" s="153"/>
      <c r="K8" s="153"/>
      <c r="L8" s="153"/>
      <c r="M8" s="153"/>
      <c r="N8" s="153"/>
      <c r="O8" s="153"/>
      <c r="P8" s="180"/>
      <c r="Q8" s="153"/>
      <c r="R8" s="154" t="s">
        <v>57</v>
      </c>
      <c r="S8" s="184">
        <f>IFERROR(2000+VALUE(LEFT(A8,2)),"")</f>
        <v>2026</v>
      </c>
      <c r="T8" s="153">
        <v>46181</v>
      </c>
      <c r="U8" s="1"/>
      <c r="V8" s="1"/>
      <c r="W8" s="1"/>
      <c r="X8" s="1"/>
      <c r="Y8" s="1"/>
    </row>
    <row r="9" spans="1:25" x14ac:dyDescent="0.35">
      <c r="A9" s="6" t="s">
        <v>58</v>
      </c>
      <c r="B9" s="11" t="s">
        <v>59</v>
      </c>
      <c r="C9" s="11" t="s">
        <v>60</v>
      </c>
      <c r="D9" s="6" t="s">
        <v>61</v>
      </c>
      <c r="E9" s="11" t="s">
        <v>52</v>
      </c>
      <c r="F9" s="34" t="s">
        <v>53</v>
      </c>
      <c r="G9" s="34">
        <v>75000</v>
      </c>
      <c r="H9" s="6" t="s">
        <v>38</v>
      </c>
      <c r="I9" s="152" t="s">
        <v>27</v>
      </c>
      <c r="J9" s="152" t="s">
        <v>27</v>
      </c>
      <c r="K9" s="152" t="s">
        <v>27</v>
      </c>
      <c r="L9" s="152" t="s">
        <v>27</v>
      </c>
      <c r="M9" s="152" t="s">
        <v>27</v>
      </c>
      <c r="N9" s="152" t="s">
        <v>27</v>
      </c>
      <c r="O9" s="152" t="s">
        <v>27</v>
      </c>
      <c r="P9" s="152" t="s">
        <v>27</v>
      </c>
      <c r="Q9" s="190" t="s">
        <v>27</v>
      </c>
      <c r="R9" s="190" t="s">
        <v>62</v>
      </c>
      <c r="S9" s="33">
        <v>2026</v>
      </c>
      <c r="T9" s="153"/>
    </row>
    <row r="10" spans="1:25" x14ac:dyDescent="0.35">
      <c r="A10" s="6" t="s">
        <v>63</v>
      </c>
      <c r="B10" s="11" t="s">
        <v>64</v>
      </c>
      <c r="C10" s="11" t="s">
        <v>65</v>
      </c>
      <c r="D10" s="22" t="s">
        <v>66</v>
      </c>
      <c r="E10" s="11" t="s">
        <v>43</v>
      </c>
      <c r="F10" s="34" t="s">
        <v>44</v>
      </c>
      <c r="G10" s="34">
        <v>26127188</v>
      </c>
      <c r="H10" s="6" t="s">
        <v>38</v>
      </c>
      <c r="I10" s="152" t="s">
        <v>27</v>
      </c>
      <c r="J10" s="152" t="s">
        <v>27</v>
      </c>
      <c r="K10" s="152" t="s">
        <v>27</v>
      </c>
      <c r="L10" s="152" t="s">
        <v>27</v>
      </c>
      <c r="M10" s="152" t="s">
        <v>27</v>
      </c>
      <c r="N10" s="152" t="s">
        <v>27</v>
      </c>
      <c r="O10" s="152" t="s">
        <v>27</v>
      </c>
      <c r="P10" s="152" t="s">
        <v>27</v>
      </c>
      <c r="Q10" s="152" t="s">
        <v>27</v>
      </c>
      <c r="R10" s="22"/>
      <c r="S10" s="33">
        <v>2026</v>
      </c>
      <c r="T10" s="153"/>
    </row>
    <row r="11" spans="1:25" x14ac:dyDescent="0.35">
      <c r="A11" s="6" t="s">
        <v>67</v>
      </c>
      <c r="B11" s="11" t="s">
        <v>68</v>
      </c>
      <c r="C11" s="11" t="s">
        <v>69</v>
      </c>
      <c r="D11" s="6" t="s">
        <v>37</v>
      </c>
      <c r="E11" s="11" t="s">
        <v>52</v>
      </c>
      <c r="F11" s="34" t="s">
        <v>53</v>
      </c>
      <c r="G11" s="34">
        <v>1462800</v>
      </c>
      <c r="H11" s="6" t="s">
        <v>38</v>
      </c>
      <c r="I11" s="152" t="s">
        <v>27</v>
      </c>
      <c r="J11" s="152" t="s">
        <v>27</v>
      </c>
      <c r="K11" s="152" t="s">
        <v>27</v>
      </c>
      <c r="L11" s="152" t="s">
        <v>27</v>
      </c>
      <c r="M11" s="152" t="s">
        <v>27</v>
      </c>
      <c r="N11" s="152" t="s">
        <v>27</v>
      </c>
      <c r="O11" s="152" t="s">
        <v>27</v>
      </c>
      <c r="P11" s="152" t="s">
        <v>27</v>
      </c>
      <c r="Q11" s="152" t="s">
        <v>27</v>
      </c>
      <c r="R11" s="22"/>
      <c r="S11" s="33">
        <v>2026</v>
      </c>
      <c r="T11" s="153"/>
    </row>
    <row r="12" spans="1:25" x14ac:dyDescent="0.35">
      <c r="A12" s="22" t="s">
        <v>70</v>
      </c>
      <c r="B12" s="23" t="s">
        <v>71</v>
      </c>
      <c r="C12" s="11" t="s">
        <v>72</v>
      </c>
      <c r="D12" s="22" t="s">
        <v>23</v>
      </c>
      <c r="E12" s="11" t="s">
        <v>52</v>
      </c>
      <c r="F12" s="34" t="s">
        <v>53</v>
      </c>
      <c r="G12" s="34">
        <v>200000</v>
      </c>
      <c r="H12" s="22" t="s">
        <v>38</v>
      </c>
      <c r="I12" s="152" t="s">
        <v>27</v>
      </c>
      <c r="J12" s="152" t="s">
        <v>27</v>
      </c>
      <c r="K12" s="152" t="s">
        <v>27</v>
      </c>
      <c r="L12" s="152" t="s">
        <v>27</v>
      </c>
      <c r="M12" s="152" t="s">
        <v>27</v>
      </c>
      <c r="N12" s="152" t="s">
        <v>27</v>
      </c>
      <c r="O12" s="152" t="s">
        <v>27</v>
      </c>
      <c r="P12" s="152" t="s">
        <v>27</v>
      </c>
      <c r="Q12" s="152" t="s">
        <v>27</v>
      </c>
      <c r="R12" s="22"/>
      <c r="S12" s="33">
        <f t="shared" ref="S12:S73" si="0">IFERROR(2000+VALUE(LEFT(A12,2)),"")</f>
        <v>2026</v>
      </c>
      <c r="T12" s="153"/>
    </row>
    <row r="13" spans="1:25" x14ac:dyDescent="0.35">
      <c r="A13" s="22" t="s">
        <v>73</v>
      </c>
      <c r="B13" s="23" t="s">
        <v>74</v>
      </c>
      <c r="C13" s="11" t="s">
        <v>75</v>
      </c>
      <c r="D13" s="22" t="s">
        <v>61</v>
      </c>
      <c r="E13" s="11" t="s">
        <v>76</v>
      </c>
      <c r="F13" s="34" t="s">
        <v>77</v>
      </c>
      <c r="G13" s="34">
        <v>11630000</v>
      </c>
      <c r="H13" s="22" t="s">
        <v>38</v>
      </c>
      <c r="I13" s="152" t="s">
        <v>27</v>
      </c>
      <c r="J13" s="152" t="s">
        <v>27</v>
      </c>
      <c r="K13" s="152" t="s">
        <v>27</v>
      </c>
      <c r="L13" s="152" t="s">
        <v>27</v>
      </c>
      <c r="M13" s="152" t="s">
        <v>27</v>
      </c>
      <c r="N13" s="152" t="s">
        <v>27</v>
      </c>
      <c r="O13" s="152" t="s">
        <v>27</v>
      </c>
      <c r="P13" s="152" t="s">
        <v>27</v>
      </c>
      <c r="Q13" s="152" t="s">
        <v>27</v>
      </c>
      <c r="R13" s="22"/>
      <c r="S13" s="33">
        <f t="shared" si="0"/>
        <v>2026</v>
      </c>
      <c r="T13" s="153"/>
    </row>
    <row r="14" spans="1:25" x14ac:dyDescent="0.35">
      <c r="A14" s="22" t="s">
        <v>78</v>
      </c>
      <c r="B14" s="23" t="s">
        <v>79</v>
      </c>
      <c r="C14" s="11" t="s">
        <v>72</v>
      </c>
      <c r="D14" s="22" t="s">
        <v>61</v>
      </c>
      <c r="E14" s="11" t="s">
        <v>52</v>
      </c>
      <c r="F14" s="34" t="s">
        <v>53</v>
      </c>
      <c r="G14" s="34">
        <v>365000</v>
      </c>
      <c r="H14" s="22" t="s">
        <v>38</v>
      </c>
      <c r="I14" s="152" t="s">
        <v>27</v>
      </c>
      <c r="J14" s="152" t="s">
        <v>27</v>
      </c>
      <c r="K14" s="152" t="s">
        <v>27</v>
      </c>
      <c r="L14" s="152" t="s">
        <v>27</v>
      </c>
      <c r="M14" s="152" t="s">
        <v>27</v>
      </c>
      <c r="N14" s="152" t="s">
        <v>27</v>
      </c>
      <c r="O14" s="152" t="s">
        <v>27</v>
      </c>
      <c r="P14" s="152" t="s">
        <v>27</v>
      </c>
      <c r="Q14" s="152" t="s">
        <v>27</v>
      </c>
      <c r="R14" s="22"/>
      <c r="S14" s="33">
        <f t="shared" si="0"/>
        <v>2026</v>
      </c>
      <c r="T14" s="153"/>
    </row>
    <row r="15" spans="1:25" x14ac:dyDescent="0.35">
      <c r="A15" s="22" t="s">
        <v>80</v>
      </c>
      <c r="B15" s="23" t="s">
        <v>81</v>
      </c>
      <c r="C15" s="11" t="s">
        <v>41</v>
      </c>
      <c r="D15" s="22" t="s">
        <v>82</v>
      </c>
      <c r="E15" s="11" t="s">
        <v>43</v>
      </c>
      <c r="F15" s="34" t="s">
        <v>44</v>
      </c>
      <c r="G15" s="34">
        <v>7150000</v>
      </c>
      <c r="H15" s="22" t="s">
        <v>38</v>
      </c>
      <c r="I15" s="152" t="s">
        <v>27</v>
      </c>
      <c r="J15" s="152" t="s">
        <v>27</v>
      </c>
      <c r="K15" s="152" t="s">
        <v>27</v>
      </c>
      <c r="L15" s="152" t="s">
        <v>27</v>
      </c>
      <c r="M15" s="152" t="s">
        <v>27</v>
      </c>
      <c r="N15" s="152" t="s">
        <v>27</v>
      </c>
      <c r="O15" s="152" t="s">
        <v>27</v>
      </c>
      <c r="P15" s="152" t="s">
        <v>27</v>
      </c>
      <c r="Q15" s="152" t="s">
        <v>27</v>
      </c>
      <c r="R15" s="22"/>
      <c r="S15" s="33">
        <f t="shared" si="0"/>
        <v>2026</v>
      </c>
      <c r="T15" s="153"/>
    </row>
    <row r="16" spans="1:25" x14ac:dyDescent="0.35">
      <c r="A16" s="22" t="s">
        <v>83</v>
      </c>
      <c r="B16" s="23" t="s">
        <v>84</v>
      </c>
      <c r="C16" s="11" t="s">
        <v>72</v>
      </c>
      <c r="D16" s="22" t="s">
        <v>82</v>
      </c>
      <c r="E16" s="11" t="s">
        <v>52</v>
      </c>
      <c r="F16" s="34" t="s">
        <v>53</v>
      </c>
      <c r="G16" s="34">
        <v>100000</v>
      </c>
      <c r="H16" s="22" t="s">
        <v>38</v>
      </c>
      <c r="I16" s="152" t="s">
        <v>27</v>
      </c>
      <c r="J16" s="152" t="s">
        <v>27</v>
      </c>
      <c r="K16" s="152" t="s">
        <v>27</v>
      </c>
      <c r="L16" s="152" t="s">
        <v>27</v>
      </c>
      <c r="M16" s="152" t="s">
        <v>27</v>
      </c>
      <c r="N16" s="152" t="s">
        <v>27</v>
      </c>
      <c r="O16" s="152" t="s">
        <v>27</v>
      </c>
      <c r="P16" s="152" t="s">
        <v>27</v>
      </c>
      <c r="Q16" s="186" t="s">
        <v>27</v>
      </c>
      <c r="R16" s="187"/>
      <c r="S16" s="33">
        <f t="shared" si="0"/>
        <v>2026</v>
      </c>
      <c r="T16" s="153"/>
    </row>
    <row r="17" spans="1:20" ht="15.5" x14ac:dyDescent="0.35">
      <c r="A17" s="22" t="s">
        <v>85</v>
      </c>
      <c r="B17" s="23" t="s">
        <v>86</v>
      </c>
      <c r="C17" s="11" t="s">
        <v>87</v>
      </c>
      <c r="D17" s="22" t="s">
        <v>82</v>
      </c>
      <c r="E17" s="11" t="s">
        <v>43</v>
      </c>
      <c r="F17" s="34" t="s">
        <v>44</v>
      </c>
      <c r="G17" s="34">
        <v>4578621</v>
      </c>
      <c r="H17" s="22" t="s">
        <v>26</v>
      </c>
      <c r="I17" s="152" t="s">
        <v>27</v>
      </c>
      <c r="J17" s="155" t="s">
        <v>28</v>
      </c>
      <c r="K17" s="152"/>
      <c r="L17" s="152"/>
      <c r="M17" s="152"/>
      <c r="N17" s="152"/>
      <c r="O17" s="152"/>
      <c r="P17" s="181"/>
      <c r="Q17" s="152"/>
      <c r="R17" s="156" t="s">
        <v>88</v>
      </c>
      <c r="S17" s="184">
        <f t="shared" si="0"/>
        <v>2026</v>
      </c>
      <c r="T17" s="153">
        <v>46036</v>
      </c>
    </row>
    <row r="18" spans="1:20" x14ac:dyDescent="0.35">
      <c r="A18" s="22" t="s">
        <v>89</v>
      </c>
      <c r="B18" s="23" t="s">
        <v>90</v>
      </c>
      <c r="C18" s="11" t="s">
        <v>91</v>
      </c>
      <c r="D18" s="22" t="s">
        <v>37</v>
      </c>
      <c r="E18" s="11" t="s">
        <v>24</v>
      </c>
      <c r="F18" s="34" t="s">
        <v>25</v>
      </c>
      <c r="G18" s="34">
        <f>1850000+1054800</f>
        <v>2904800</v>
      </c>
      <c r="H18" s="22" t="s">
        <v>38</v>
      </c>
      <c r="I18" s="152" t="s">
        <v>27</v>
      </c>
      <c r="J18" s="152" t="s">
        <v>27</v>
      </c>
      <c r="K18" s="152" t="s">
        <v>27</v>
      </c>
      <c r="L18" s="152" t="s">
        <v>27</v>
      </c>
      <c r="M18" s="152" t="s">
        <v>27</v>
      </c>
      <c r="N18" s="152" t="s">
        <v>27</v>
      </c>
      <c r="O18" s="152" t="s">
        <v>27</v>
      </c>
      <c r="P18" s="152" t="s">
        <v>27</v>
      </c>
      <c r="Q18" s="190" t="s">
        <v>27</v>
      </c>
      <c r="R18" s="191"/>
      <c r="S18" s="33">
        <f t="shared" si="0"/>
        <v>2026</v>
      </c>
      <c r="T18" s="153"/>
    </row>
    <row r="19" spans="1:20" x14ac:dyDescent="0.35">
      <c r="A19" s="22" t="s">
        <v>92</v>
      </c>
      <c r="B19" s="23" t="s">
        <v>93</v>
      </c>
      <c r="C19" s="11" t="s">
        <v>94</v>
      </c>
      <c r="D19" s="22" t="s">
        <v>37</v>
      </c>
      <c r="E19" s="11" t="s">
        <v>24</v>
      </c>
      <c r="F19" s="34" t="s">
        <v>25</v>
      </c>
      <c r="G19" s="34">
        <f>3960000+5579500+480000</f>
        <v>10019500</v>
      </c>
      <c r="H19" s="22" t="s">
        <v>38</v>
      </c>
      <c r="I19" s="152" t="s">
        <v>27</v>
      </c>
      <c r="J19" s="152" t="s">
        <v>27</v>
      </c>
      <c r="K19" s="152" t="s">
        <v>27</v>
      </c>
      <c r="L19" s="152" t="s">
        <v>27</v>
      </c>
      <c r="M19" s="152" t="s">
        <v>27</v>
      </c>
      <c r="N19" s="152" t="s">
        <v>27</v>
      </c>
      <c r="O19" s="152" t="s">
        <v>27</v>
      </c>
      <c r="P19" s="152" t="s">
        <v>27</v>
      </c>
      <c r="Q19" s="152" t="s">
        <v>27</v>
      </c>
      <c r="R19" s="22"/>
      <c r="S19" s="33">
        <f t="shared" si="0"/>
        <v>2026</v>
      </c>
      <c r="T19" s="153"/>
    </row>
    <row r="20" spans="1:20" x14ac:dyDescent="0.35">
      <c r="A20" s="22" t="s">
        <v>95</v>
      </c>
      <c r="B20" s="23" t="s">
        <v>96</v>
      </c>
      <c r="C20" s="11" t="s">
        <v>97</v>
      </c>
      <c r="D20" s="22" t="s">
        <v>82</v>
      </c>
      <c r="E20" s="11" t="s">
        <v>52</v>
      </c>
      <c r="F20" s="34" t="s">
        <v>53</v>
      </c>
      <c r="G20" s="34">
        <v>365000</v>
      </c>
      <c r="H20" s="22" t="s">
        <v>38</v>
      </c>
      <c r="I20" s="152" t="s">
        <v>27</v>
      </c>
      <c r="J20" s="152" t="s">
        <v>27</v>
      </c>
      <c r="K20" s="152" t="s">
        <v>27</v>
      </c>
      <c r="L20" s="152" t="s">
        <v>27</v>
      </c>
      <c r="M20" s="152" t="s">
        <v>27</v>
      </c>
      <c r="N20" s="152" t="s">
        <v>27</v>
      </c>
      <c r="O20" s="152" t="s">
        <v>27</v>
      </c>
      <c r="P20" s="152" t="s">
        <v>27</v>
      </c>
      <c r="Q20" s="152" t="s">
        <v>27</v>
      </c>
      <c r="R20" s="22"/>
      <c r="S20" s="33">
        <f t="shared" si="0"/>
        <v>2026</v>
      </c>
      <c r="T20" s="153"/>
    </row>
    <row r="21" spans="1:20" x14ac:dyDescent="0.35">
      <c r="A21" s="22" t="s">
        <v>98</v>
      </c>
      <c r="B21" s="23" t="s">
        <v>99</v>
      </c>
      <c r="C21" s="11" t="s">
        <v>72</v>
      </c>
      <c r="D21" s="22" t="s">
        <v>100</v>
      </c>
      <c r="E21" s="11" t="s">
        <v>52</v>
      </c>
      <c r="F21" s="34" t="s">
        <v>53</v>
      </c>
      <c r="G21" s="34">
        <v>130000</v>
      </c>
      <c r="H21" s="22" t="s">
        <v>38</v>
      </c>
      <c r="I21" s="152" t="s">
        <v>27</v>
      </c>
      <c r="J21" s="152" t="s">
        <v>27</v>
      </c>
      <c r="K21" s="152" t="s">
        <v>27</v>
      </c>
      <c r="L21" s="152" t="s">
        <v>27</v>
      </c>
      <c r="M21" s="152" t="s">
        <v>27</v>
      </c>
      <c r="N21" s="152" t="s">
        <v>27</v>
      </c>
      <c r="O21" s="152" t="s">
        <v>27</v>
      </c>
      <c r="P21" s="152" t="s">
        <v>27</v>
      </c>
      <c r="Q21" s="152" t="s">
        <v>27</v>
      </c>
      <c r="R21" s="22"/>
      <c r="S21" s="33">
        <f t="shared" si="0"/>
        <v>2026</v>
      </c>
      <c r="T21" s="153"/>
    </row>
    <row r="22" spans="1:20" x14ac:dyDescent="0.35">
      <c r="A22" s="22" t="s">
        <v>101</v>
      </c>
      <c r="B22" s="23" t="s">
        <v>102</v>
      </c>
      <c r="C22" s="11" t="s">
        <v>103</v>
      </c>
      <c r="D22" s="22" t="s">
        <v>37</v>
      </c>
      <c r="E22" s="11" t="s">
        <v>76</v>
      </c>
      <c r="F22" s="34" t="s">
        <v>77</v>
      </c>
      <c r="G22" s="34">
        <v>11500000</v>
      </c>
      <c r="H22" s="22" t="s">
        <v>38</v>
      </c>
      <c r="I22" s="152" t="s">
        <v>27</v>
      </c>
      <c r="J22" s="152" t="s">
        <v>27</v>
      </c>
      <c r="K22" s="152" t="s">
        <v>27</v>
      </c>
      <c r="L22" s="152" t="s">
        <v>27</v>
      </c>
      <c r="M22" s="152" t="s">
        <v>27</v>
      </c>
      <c r="N22" s="152" t="s">
        <v>27</v>
      </c>
      <c r="O22" s="152" t="s">
        <v>27</v>
      </c>
      <c r="P22" s="152" t="s">
        <v>27</v>
      </c>
      <c r="Q22" s="152" t="s">
        <v>27</v>
      </c>
      <c r="R22" s="22"/>
      <c r="S22" s="33">
        <f t="shared" si="0"/>
        <v>2025</v>
      </c>
      <c r="T22" s="153"/>
    </row>
    <row r="23" spans="1:20" x14ac:dyDescent="0.35">
      <c r="A23" s="22" t="s">
        <v>104</v>
      </c>
      <c r="B23" s="23" t="s">
        <v>105</v>
      </c>
      <c r="C23" s="11" t="s">
        <v>106</v>
      </c>
      <c r="D23" s="22" t="s">
        <v>23</v>
      </c>
      <c r="E23" s="11" t="s">
        <v>24</v>
      </c>
      <c r="F23" s="34" t="s">
        <v>25</v>
      </c>
      <c r="G23" s="34">
        <v>850000</v>
      </c>
      <c r="H23" s="22" t="s">
        <v>38</v>
      </c>
      <c r="I23" s="152" t="s">
        <v>27</v>
      </c>
      <c r="J23" s="152" t="s">
        <v>27</v>
      </c>
      <c r="K23" s="152" t="s">
        <v>27</v>
      </c>
      <c r="L23" s="152" t="s">
        <v>27</v>
      </c>
      <c r="M23" s="152" t="s">
        <v>27</v>
      </c>
      <c r="N23" s="152" t="s">
        <v>27</v>
      </c>
      <c r="O23" s="152" t="s">
        <v>27</v>
      </c>
      <c r="P23" s="152" t="s">
        <v>27</v>
      </c>
      <c r="Q23" s="152" t="s">
        <v>27</v>
      </c>
      <c r="R23" s="22"/>
      <c r="S23" s="33">
        <f t="shared" si="0"/>
        <v>2025</v>
      </c>
      <c r="T23" s="153"/>
    </row>
    <row r="24" spans="1:20" x14ac:dyDescent="0.35">
      <c r="A24" s="22" t="s">
        <v>107</v>
      </c>
      <c r="B24" s="23" t="s">
        <v>108</v>
      </c>
      <c r="C24" s="11" t="s">
        <v>72</v>
      </c>
      <c r="D24" s="22" t="s">
        <v>23</v>
      </c>
      <c r="E24" s="11" t="s">
        <v>52</v>
      </c>
      <c r="F24" s="34" t="s">
        <v>53</v>
      </c>
      <c r="G24" s="34">
        <v>215000</v>
      </c>
      <c r="H24" s="22" t="s">
        <v>38</v>
      </c>
      <c r="I24" s="152" t="s">
        <v>27</v>
      </c>
      <c r="J24" s="152" t="s">
        <v>27</v>
      </c>
      <c r="K24" s="152" t="s">
        <v>27</v>
      </c>
      <c r="L24" s="152" t="s">
        <v>27</v>
      </c>
      <c r="M24" s="152" t="s">
        <v>27</v>
      </c>
      <c r="N24" s="152" t="s">
        <v>27</v>
      </c>
      <c r="O24" s="152" t="s">
        <v>27</v>
      </c>
      <c r="P24" s="152" t="s">
        <v>27</v>
      </c>
      <c r="Q24" s="186" t="s">
        <v>27</v>
      </c>
      <c r="R24" s="187"/>
      <c r="S24" s="33">
        <f t="shared" si="0"/>
        <v>2025</v>
      </c>
      <c r="T24" s="153"/>
    </row>
    <row r="25" spans="1:20" ht="15.5" x14ac:dyDescent="0.35">
      <c r="A25" s="22" t="s">
        <v>109</v>
      </c>
      <c r="B25" s="23" t="s">
        <v>110</v>
      </c>
      <c r="C25" s="11" t="s">
        <v>111</v>
      </c>
      <c r="D25" s="22" t="s">
        <v>23</v>
      </c>
      <c r="E25" s="11" t="s">
        <v>24</v>
      </c>
      <c r="F25" s="34" t="s">
        <v>25</v>
      </c>
      <c r="G25" s="34">
        <v>2985000</v>
      </c>
      <c r="H25" s="22" t="s">
        <v>26</v>
      </c>
      <c r="I25" s="152" t="s">
        <v>27</v>
      </c>
      <c r="J25" s="152" t="s">
        <v>27</v>
      </c>
      <c r="K25" s="155" t="s">
        <v>28</v>
      </c>
      <c r="L25" s="152"/>
      <c r="M25" s="152"/>
      <c r="N25" s="152"/>
      <c r="O25" s="152"/>
      <c r="P25" s="181"/>
      <c r="Q25" s="152"/>
      <c r="R25" s="154" t="s">
        <v>112</v>
      </c>
      <c r="S25" s="184">
        <f t="shared" si="0"/>
        <v>2025</v>
      </c>
      <c r="T25" s="153">
        <v>45923</v>
      </c>
    </row>
    <row r="26" spans="1:20" x14ac:dyDescent="0.35">
      <c r="A26" s="22" t="s">
        <v>113</v>
      </c>
      <c r="B26" s="23" t="s">
        <v>114</v>
      </c>
      <c r="C26" s="11" t="s">
        <v>115</v>
      </c>
      <c r="D26" s="22" t="s">
        <v>116</v>
      </c>
      <c r="E26" s="11" t="s">
        <v>24</v>
      </c>
      <c r="F26" s="34" t="s">
        <v>25</v>
      </c>
      <c r="G26" s="34">
        <f>750000+350000+80000+45000+60000</f>
        <v>1285000</v>
      </c>
      <c r="H26" s="22" t="s">
        <v>38</v>
      </c>
      <c r="I26" s="152" t="s">
        <v>27</v>
      </c>
      <c r="J26" s="152" t="s">
        <v>27</v>
      </c>
      <c r="K26" s="152" t="s">
        <v>27</v>
      </c>
      <c r="L26" s="152" t="s">
        <v>27</v>
      </c>
      <c r="M26" s="152" t="s">
        <v>27</v>
      </c>
      <c r="N26" s="152" t="s">
        <v>27</v>
      </c>
      <c r="O26" s="152" t="s">
        <v>27</v>
      </c>
      <c r="P26" s="152" t="s">
        <v>27</v>
      </c>
      <c r="Q26" s="190" t="s">
        <v>27</v>
      </c>
      <c r="R26" s="191"/>
      <c r="S26" s="33">
        <f t="shared" si="0"/>
        <v>2025</v>
      </c>
      <c r="T26" s="153"/>
    </row>
    <row r="27" spans="1:20" x14ac:dyDescent="0.35">
      <c r="A27" s="22" t="s">
        <v>117</v>
      </c>
      <c r="B27" s="23" t="s">
        <v>118</v>
      </c>
      <c r="C27" s="11" t="s">
        <v>115</v>
      </c>
      <c r="D27" s="22" t="s">
        <v>116</v>
      </c>
      <c r="E27" s="11" t="s">
        <v>24</v>
      </c>
      <c r="F27" s="34" t="s">
        <v>25</v>
      </c>
      <c r="G27" s="34">
        <f>700000+350000+80000+45000+60000</f>
        <v>1235000</v>
      </c>
      <c r="H27" s="22" t="s">
        <v>38</v>
      </c>
      <c r="I27" s="152" t="s">
        <v>27</v>
      </c>
      <c r="J27" s="152" t="s">
        <v>27</v>
      </c>
      <c r="K27" s="152" t="s">
        <v>27</v>
      </c>
      <c r="L27" s="152" t="s">
        <v>27</v>
      </c>
      <c r="M27" s="152" t="s">
        <v>27</v>
      </c>
      <c r="N27" s="152" t="s">
        <v>27</v>
      </c>
      <c r="O27" s="152" t="s">
        <v>27</v>
      </c>
      <c r="P27" s="152" t="s">
        <v>27</v>
      </c>
      <c r="Q27" s="152" t="s">
        <v>27</v>
      </c>
      <c r="R27" s="22"/>
      <c r="S27" s="33">
        <f t="shared" si="0"/>
        <v>2025</v>
      </c>
      <c r="T27" s="153"/>
    </row>
    <row r="28" spans="1:20" x14ac:dyDescent="0.35">
      <c r="A28" s="22" t="s">
        <v>119</v>
      </c>
      <c r="B28" s="23" t="s">
        <v>120</v>
      </c>
      <c r="C28" s="11" t="s">
        <v>121</v>
      </c>
      <c r="D28" s="22" t="s">
        <v>48</v>
      </c>
      <c r="E28" s="11" t="s">
        <v>24</v>
      </c>
      <c r="F28" s="34" t="s">
        <v>25</v>
      </c>
      <c r="G28" s="34">
        <v>5725000</v>
      </c>
      <c r="H28" s="22" t="s">
        <v>38</v>
      </c>
      <c r="I28" s="152" t="s">
        <v>27</v>
      </c>
      <c r="J28" s="152" t="s">
        <v>27</v>
      </c>
      <c r="K28" s="152" t="s">
        <v>27</v>
      </c>
      <c r="L28" s="152" t="s">
        <v>27</v>
      </c>
      <c r="M28" s="152" t="s">
        <v>27</v>
      </c>
      <c r="N28" s="152" t="s">
        <v>27</v>
      </c>
      <c r="O28" s="152" t="s">
        <v>27</v>
      </c>
      <c r="P28" s="152" t="s">
        <v>27</v>
      </c>
      <c r="Q28" s="152" t="s">
        <v>27</v>
      </c>
      <c r="R28" s="22"/>
      <c r="S28" s="33">
        <f t="shared" si="0"/>
        <v>2025</v>
      </c>
      <c r="T28" s="153"/>
    </row>
    <row r="29" spans="1:20" x14ac:dyDescent="0.35">
      <c r="A29" s="22" t="s">
        <v>122</v>
      </c>
      <c r="B29" s="23" t="s">
        <v>123</v>
      </c>
      <c r="C29" s="11" t="s">
        <v>72</v>
      </c>
      <c r="D29" s="22" t="s">
        <v>61</v>
      </c>
      <c r="E29" s="11" t="s">
        <v>52</v>
      </c>
      <c r="F29" s="34" t="s">
        <v>53</v>
      </c>
      <c r="G29" s="34">
        <v>100000</v>
      </c>
      <c r="H29" s="22" t="s">
        <v>38</v>
      </c>
      <c r="I29" s="152" t="s">
        <v>27</v>
      </c>
      <c r="J29" s="152" t="s">
        <v>27</v>
      </c>
      <c r="K29" s="152" t="s">
        <v>27</v>
      </c>
      <c r="L29" s="152" t="s">
        <v>27</v>
      </c>
      <c r="M29" s="152" t="s">
        <v>27</v>
      </c>
      <c r="N29" s="152" t="s">
        <v>27</v>
      </c>
      <c r="O29" s="152" t="s">
        <v>27</v>
      </c>
      <c r="P29" s="152" t="s">
        <v>27</v>
      </c>
      <c r="Q29" s="152" t="s">
        <v>27</v>
      </c>
      <c r="R29" s="22"/>
      <c r="S29" s="33">
        <f t="shared" si="0"/>
        <v>2025</v>
      </c>
      <c r="T29" s="153"/>
    </row>
    <row r="30" spans="1:20" x14ac:dyDescent="0.35">
      <c r="A30" s="22" t="s">
        <v>124</v>
      </c>
      <c r="B30" s="23" t="s">
        <v>125</v>
      </c>
      <c r="C30" s="11" t="s">
        <v>72</v>
      </c>
      <c r="D30" s="22" t="s">
        <v>37</v>
      </c>
      <c r="E30" s="11" t="s">
        <v>52</v>
      </c>
      <c r="F30" s="34" t="s">
        <v>25</v>
      </c>
      <c r="G30" s="34">
        <v>330000</v>
      </c>
      <c r="H30" s="22" t="s">
        <v>38</v>
      </c>
      <c r="I30" s="152" t="s">
        <v>27</v>
      </c>
      <c r="J30" s="152" t="s">
        <v>27</v>
      </c>
      <c r="K30" s="152" t="s">
        <v>27</v>
      </c>
      <c r="L30" s="152" t="s">
        <v>27</v>
      </c>
      <c r="M30" s="152" t="s">
        <v>27</v>
      </c>
      <c r="N30" s="152" t="s">
        <v>27</v>
      </c>
      <c r="O30" s="152" t="s">
        <v>27</v>
      </c>
      <c r="P30" s="152" t="s">
        <v>27</v>
      </c>
      <c r="Q30" s="186" t="s">
        <v>27</v>
      </c>
      <c r="R30" s="187"/>
      <c r="S30" s="33">
        <f t="shared" si="0"/>
        <v>2025</v>
      </c>
      <c r="T30" s="153"/>
    </row>
    <row r="31" spans="1:20" ht="15.5" x14ac:dyDescent="0.35">
      <c r="A31" s="22" t="s">
        <v>126</v>
      </c>
      <c r="B31" s="23" t="s">
        <v>127</v>
      </c>
      <c r="C31" s="11" t="s">
        <v>128</v>
      </c>
      <c r="D31" s="22" t="s">
        <v>48</v>
      </c>
      <c r="E31" s="11" t="s">
        <v>43</v>
      </c>
      <c r="F31" s="34" t="s">
        <v>25</v>
      </c>
      <c r="G31" s="34">
        <v>541912</v>
      </c>
      <c r="H31" s="22" t="s">
        <v>26</v>
      </c>
      <c r="I31" s="152" t="s">
        <v>27</v>
      </c>
      <c r="J31" s="155" t="s">
        <v>28</v>
      </c>
      <c r="K31" s="152"/>
      <c r="L31" s="152"/>
      <c r="M31" s="152"/>
      <c r="N31" s="152"/>
      <c r="O31" s="152"/>
      <c r="P31" s="181"/>
      <c r="Q31" s="152"/>
      <c r="R31" s="116" t="s">
        <v>129</v>
      </c>
      <c r="S31" s="184">
        <f t="shared" si="0"/>
        <v>2025</v>
      </c>
      <c r="T31" s="153">
        <v>45979</v>
      </c>
    </row>
    <row r="32" spans="1:20" x14ac:dyDescent="0.35">
      <c r="A32" s="22" t="s">
        <v>130</v>
      </c>
      <c r="B32" s="23" t="s">
        <v>131</v>
      </c>
      <c r="C32" s="11" t="s">
        <v>65</v>
      </c>
      <c r="D32" s="22" t="s">
        <v>66</v>
      </c>
      <c r="E32" s="11" t="s">
        <v>43</v>
      </c>
      <c r="F32" s="34" t="s">
        <v>44</v>
      </c>
      <c r="G32" s="34">
        <v>3350000</v>
      </c>
      <c r="H32" s="22" t="s">
        <v>38</v>
      </c>
      <c r="I32" s="152" t="s">
        <v>27</v>
      </c>
      <c r="J32" s="152" t="s">
        <v>27</v>
      </c>
      <c r="K32" s="152" t="s">
        <v>27</v>
      </c>
      <c r="L32" s="152" t="s">
        <v>27</v>
      </c>
      <c r="M32" s="152" t="s">
        <v>27</v>
      </c>
      <c r="N32" s="152" t="s">
        <v>27</v>
      </c>
      <c r="O32" s="152" t="s">
        <v>27</v>
      </c>
      <c r="P32" s="152" t="s">
        <v>27</v>
      </c>
      <c r="Q32" s="190" t="s">
        <v>27</v>
      </c>
      <c r="R32" s="191"/>
      <c r="S32" s="33">
        <f t="shared" si="0"/>
        <v>2025</v>
      </c>
      <c r="T32" s="153"/>
    </row>
    <row r="33" spans="1:20" x14ac:dyDescent="0.35">
      <c r="A33" s="22" t="s">
        <v>132</v>
      </c>
      <c r="B33" s="23" t="s">
        <v>133</v>
      </c>
      <c r="C33" s="11" t="s">
        <v>134</v>
      </c>
      <c r="D33" s="22" t="s">
        <v>48</v>
      </c>
      <c r="E33" s="11" t="s">
        <v>43</v>
      </c>
      <c r="F33" s="34" t="s">
        <v>44</v>
      </c>
      <c r="G33" s="34">
        <v>3000000</v>
      </c>
      <c r="H33" s="22" t="s">
        <v>38</v>
      </c>
      <c r="I33" s="152" t="s">
        <v>27</v>
      </c>
      <c r="J33" s="152" t="s">
        <v>27</v>
      </c>
      <c r="K33" s="152" t="s">
        <v>27</v>
      </c>
      <c r="L33" s="152" t="s">
        <v>27</v>
      </c>
      <c r="M33" s="152" t="s">
        <v>27</v>
      </c>
      <c r="N33" s="152" t="s">
        <v>27</v>
      </c>
      <c r="O33" s="152" t="s">
        <v>27</v>
      </c>
      <c r="P33" s="152" t="s">
        <v>27</v>
      </c>
      <c r="Q33" s="186" t="s">
        <v>27</v>
      </c>
      <c r="R33" s="187"/>
      <c r="S33" s="33">
        <f t="shared" si="0"/>
        <v>2025</v>
      </c>
      <c r="T33" s="153"/>
    </row>
    <row r="34" spans="1:20" ht="15.5" x14ac:dyDescent="0.35">
      <c r="A34" s="22" t="s">
        <v>135</v>
      </c>
      <c r="B34" s="23" t="s">
        <v>136</v>
      </c>
      <c r="C34" s="11" t="s">
        <v>137</v>
      </c>
      <c r="D34" s="22" t="s">
        <v>23</v>
      </c>
      <c r="E34" s="11" t="s">
        <v>24</v>
      </c>
      <c r="F34" s="34" t="s">
        <v>25</v>
      </c>
      <c r="G34" s="34">
        <v>255000</v>
      </c>
      <c r="H34" s="22" t="s">
        <v>26</v>
      </c>
      <c r="I34" s="157"/>
      <c r="J34" s="158"/>
      <c r="K34" s="157"/>
      <c r="L34" s="157"/>
      <c r="M34" s="157"/>
      <c r="N34" s="157"/>
      <c r="O34" s="157"/>
      <c r="P34" s="182"/>
      <c r="Q34" s="182"/>
      <c r="R34" s="22" t="s">
        <v>138</v>
      </c>
      <c r="S34" s="184">
        <f t="shared" si="0"/>
        <v>2025</v>
      </c>
      <c r="T34" s="153"/>
    </row>
    <row r="35" spans="1:20" x14ac:dyDescent="0.35">
      <c r="A35" s="22" t="s">
        <v>139</v>
      </c>
      <c r="B35" s="23" t="s">
        <v>140</v>
      </c>
      <c r="C35" s="11" t="s">
        <v>141</v>
      </c>
      <c r="D35" s="22" t="s">
        <v>82</v>
      </c>
      <c r="E35" s="11" t="s">
        <v>76</v>
      </c>
      <c r="F35" s="34" t="s">
        <v>77</v>
      </c>
      <c r="G35" s="34">
        <v>2921000</v>
      </c>
      <c r="H35" s="22" t="s">
        <v>38</v>
      </c>
      <c r="I35" s="152" t="s">
        <v>27</v>
      </c>
      <c r="J35" s="152" t="s">
        <v>27</v>
      </c>
      <c r="K35" s="152" t="s">
        <v>27</v>
      </c>
      <c r="L35" s="152" t="s">
        <v>27</v>
      </c>
      <c r="M35" s="152" t="s">
        <v>27</v>
      </c>
      <c r="N35" s="152" t="s">
        <v>27</v>
      </c>
      <c r="O35" s="152" t="s">
        <v>27</v>
      </c>
      <c r="P35" s="152" t="s">
        <v>27</v>
      </c>
      <c r="Q35" s="190" t="s">
        <v>27</v>
      </c>
      <c r="R35" s="191"/>
      <c r="S35" s="33">
        <f t="shared" si="0"/>
        <v>2025</v>
      </c>
      <c r="T35" s="153"/>
    </row>
    <row r="36" spans="1:20" x14ac:dyDescent="0.35">
      <c r="A36" s="22" t="s">
        <v>142</v>
      </c>
      <c r="B36" s="23" t="s">
        <v>143</v>
      </c>
      <c r="C36" s="11" t="s">
        <v>141</v>
      </c>
      <c r="D36" s="22" t="s">
        <v>82</v>
      </c>
      <c r="E36" s="11" t="s">
        <v>76</v>
      </c>
      <c r="F36" s="34" t="s">
        <v>77</v>
      </c>
      <c r="G36" s="34">
        <v>2921000</v>
      </c>
      <c r="H36" s="22" t="s">
        <v>38</v>
      </c>
      <c r="I36" s="152" t="s">
        <v>27</v>
      </c>
      <c r="J36" s="152" t="s">
        <v>27</v>
      </c>
      <c r="K36" s="152" t="s">
        <v>27</v>
      </c>
      <c r="L36" s="152" t="s">
        <v>27</v>
      </c>
      <c r="M36" s="152" t="s">
        <v>27</v>
      </c>
      <c r="N36" s="152" t="s">
        <v>27</v>
      </c>
      <c r="O36" s="152" t="s">
        <v>27</v>
      </c>
      <c r="P36" s="152" t="s">
        <v>27</v>
      </c>
      <c r="Q36" s="152" t="s">
        <v>27</v>
      </c>
      <c r="R36" s="22"/>
      <c r="S36" s="33">
        <f t="shared" si="0"/>
        <v>2025</v>
      </c>
      <c r="T36" s="153"/>
    </row>
    <row r="37" spans="1:20" x14ac:dyDescent="0.35">
      <c r="A37" s="22" t="s">
        <v>144</v>
      </c>
      <c r="B37" s="23" t="s">
        <v>145</v>
      </c>
      <c r="C37" s="11" t="s">
        <v>41</v>
      </c>
      <c r="D37" s="22" t="s">
        <v>66</v>
      </c>
      <c r="E37" s="11" t="s">
        <v>43</v>
      </c>
      <c r="F37" s="34" t="s">
        <v>44</v>
      </c>
      <c r="G37" s="34">
        <v>28722900</v>
      </c>
      <c r="H37" s="22" t="s">
        <v>38</v>
      </c>
      <c r="I37" s="152" t="s">
        <v>27</v>
      </c>
      <c r="J37" s="152" t="s">
        <v>27</v>
      </c>
      <c r="K37" s="152" t="s">
        <v>27</v>
      </c>
      <c r="L37" s="152" t="s">
        <v>27</v>
      </c>
      <c r="M37" s="152" t="s">
        <v>27</v>
      </c>
      <c r="N37" s="152" t="s">
        <v>27</v>
      </c>
      <c r="O37" s="152" t="s">
        <v>27</v>
      </c>
      <c r="P37" s="152" t="s">
        <v>27</v>
      </c>
      <c r="Q37" s="152" t="s">
        <v>27</v>
      </c>
      <c r="R37" s="22"/>
      <c r="S37" s="33">
        <f t="shared" si="0"/>
        <v>2025</v>
      </c>
      <c r="T37" s="153"/>
    </row>
    <row r="38" spans="1:20" x14ac:dyDescent="0.35">
      <c r="A38" s="22" t="s">
        <v>146</v>
      </c>
      <c r="B38" s="23" t="s">
        <v>147</v>
      </c>
      <c r="C38" s="11" t="s">
        <v>41</v>
      </c>
      <c r="D38" s="22" t="s">
        <v>82</v>
      </c>
      <c r="E38" s="11" t="s">
        <v>43</v>
      </c>
      <c r="F38" s="34" t="s">
        <v>44</v>
      </c>
      <c r="G38" s="34">
        <v>18398000</v>
      </c>
      <c r="H38" s="22" t="s">
        <v>38</v>
      </c>
      <c r="I38" s="152" t="s">
        <v>27</v>
      </c>
      <c r="J38" s="152" t="s">
        <v>27</v>
      </c>
      <c r="K38" s="152" t="s">
        <v>27</v>
      </c>
      <c r="L38" s="152" t="s">
        <v>27</v>
      </c>
      <c r="M38" s="152" t="s">
        <v>27</v>
      </c>
      <c r="N38" s="152" t="s">
        <v>27</v>
      </c>
      <c r="O38" s="152" t="s">
        <v>27</v>
      </c>
      <c r="P38" s="152" t="s">
        <v>27</v>
      </c>
      <c r="Q38" s="152" t="s">
        <v>27</v>
      </c>
      <c r="R38" s="90"/>
      <c r="S38" s="33">
        <f t="shared" si="0"/>
        <v>2025</v>
      </c>
      <c r="T38" s="153"/>
    </row>
    <row r="39" spans="1:20" x14ac:dyDescent="0.35">
      <c r="A39" s="22" t="s">
        <v>148</v>
      </c>
      <c r="B39" s="23" t="s">
        <v>149</v>
      </c>
      <c r="C39" s="11" t="s">
        <v>41</v>
      </c>
      <c r="D39" s="22" t="s">
        <v>82</v>
      </c>
      <c r="E39" s="11" t="s">
        <v>43</v>
      </c>
      <c r="F39" s="34" t="s">
        <v>44</v>
      </c>
      <c r="G39" s="34">
        <v>16952000</v>
      </c>
      <c r="H39" s="22" t="s">
        <v>38</v>
      </c>
      <c r="I39" s="152" t="s">
        <v>27</v>
      </c>
      <c r="J39" s="152" t="s">
        <v>27</v>
      </c>
      <c r="K39" s="152" t="s">
        <v>27</v>
      </c>
      <c r="L39" s="152" t="s">
        <v>27</v>
      </c>
      <c r="M39" s="152" t="s">
        <v>27</v>
      </c>
      <c r="N39" s="152" t="s">
        <v>27</v>
      </c>
      <c r="O39" s="152" t="s">
        <v>27</v>
      </c>
      <c r="P39" s="152" t="s">
        <v>27</v>
      </c>
      <c r="Q39" s="186" t="s">
        <v>27</v>
      </c>
      <c r="R39" s="188"/>
      <c r="S39" s="33">
        <f t="shared" si="0"/>
        <v>2025</v>
      </c>
      <c r="T39" s="153"/>
    </row>
    <row r="40" spans="1:20" x14ac:dyDescent="0.35">
      <c r="A40" s="22" t="s">
        <v>150</v>
      </c>
      <c r="B40" s="23" t="s">
        <v>151</v>
      </c>
      <c r="C40" s="11" t="s">
        <v>152</v>
      </c>
      <c r="D40" s="22" t="s">
        <v>23</v>
      </c>
      <c r="E40" s="11" t="s">
        <v>24</v>
      </c>
      <c r="F40" s="34" t="s">
        <v>25</v>
      </c>
      <c r="G40" s="34">
        <v>2070000</v>
      </c>
      <c r="H40" s="22" t="s">
        <v>38</v>
      </c>
      <c r="I40" s="152" t="s">
        <v>27</v>
      </c>
      <c r="J40" s="152" t="s">
        <v>27</v>
      </c>
      <c r="K40" s="152" t="s">
        <v>27</v>
      </c>
      <c r="L40" s="152" t="s">
        <v>27</v>
      </c>
      <c r="M40" s="152" t="s">
        <v>27</v>
      </c>
      <c r="N40" s="152" t="s">
        <v>27</v>
      </c>
      <c r="O40" s="152" t="s">
        <v>27</v>
      </c>
      <c r="P40" s="181" t="s">
        <v>27</v>
      </c>
      <c r="Q40" s="181" t="s">
        <v>27</v>
      </c>
      <c r="R40" s="22"/>
      <c r="S40" s="184">
        <f t="shared" si="0"/>
        <v>2025</v>
      </c>
      <c r="T40" s="153">
        <v>46157</v>
      </c>
    </row>
    <row r="41" spans="1:20" x14ac:dyDescent="0.35">
      <c r="A41" s="22" t="s">
        <v>153</v>
      </c>
      <c r="B41" s="23" t="s">
        <v>154</v>
      </c>
      <c r="C41" s="11" t="s">
        <v>155</v>
      </c>
      <c r="D41" s="22" t="s">
        <v>100</v>
      </c>
      <c r="E41" s="11" t="s">
        <v>43</v>
      </c>
      <c r="F41" s="34" t="s">
        <v>25</v>
      </c>
      <c r="G41" s="34">
        <v>221350</v>
      </c>
      <c r="H41" s="22" t="s">
        <v>38</v>
      </c>
      <c r="I41" s="152" t="s">
        <v>27</v>
      </c>
      <c r="J41" s="152" t="s">
        <v>27</v>
      </c>
      <c r="K41" s="152" t="s">
        <v>27</v>
      </c>
      <c r="L41" s="152" t="s">
        <v>27</v>
      </c>
      <c r="M41" s="152" t="s">
        <v>27</v>
      </c>
      <c r="N41" s="152" t="s">
        <v>27</v>
      </c>
      <c r="O41" s="152" t="s">
        <v>27</v>
      </c>
      <c r="P41" s="152" t="s">
        <v>27</v>
      </c>
      <c r="Q41" s="190" t="s">
        <v>27</v>
      </c>
      <c r="R41" s="191"/>
      <c r="S41" s="33">
        <f t="shared" si="0"/>
        <v>2025</v>
      </c>
      <c r="T41" s="153"/>
    </row>
    <row r="42" spans="1:20" x14ac:dyDescent="0.35">
      <c r="A42" s="22" t="s">
        <v>156</v>
      </c>
      <c r="B42" s="23" t="s">
        <v>157</v>
      </c>
      <c r="C42" s="11" t="s">
        <v>158</v>
      </c>
      <c r="D42" s="22" t="s">
        <v>116</v>
      </c>
      <c r="E42" s="11" t="s">
        <v>24</v>
      </c>
      <c r="F42" s="34" t="s">
        <v>25</v>
      </c>
      <c r="G42" s="34">
        <v>250000</v>
      </c>
      <c r="H42" s="22" t="s">
        <v>38</v>
      </c>
      <c r="I42" s="152" t="s">
        <v>27</v>
      </c>
      <c r="J42" s="152" t="s">
        <v>27</v>
      </c>
      <c r="K42" s="152" t="s">
        <v>27</v>
      </c>
      <c r="L42" s="152" t="s">
        <v>27</v>
      </c>
      <c r="M42" s="152" t="s">
        <v>27</v>
      </c>
      <c r="N42" s="152" t="s">
        <v>27</v>
      </c>
      <c r="O42" s="152" t="s">
        <v>27</v>
      </c>
      <c r="P42" s="152" t="s">
        <v>27</v>
      </c>
      <c r="Q42" s="152" t="s">
        <v>27</v>
      </c>
      <c r="R42" s="22"/>
      <c r="S42" s="33">
        <f t="shared" si="0"/>
        <v>2025</v>
      </c>
      <c r="T42" s="153"/>
    </row>
    <row r="43" spans="1:20" x14ac:dyDescent="0.35">
      <c r="A43" s="22" t="s">
        <v>159</v>
      </c>
      <c r="B43" s="23" t="s">
        <v>160</v>
      </c>
      <c r="C43" s="11" t="s">
        <v>161</v>
      </c>
      <c r="D43" s="22" t="s">
        <v>42</v>
      </c>
      <c r="E43" s="11" t="s">
        <v>24</v>
      </c>
      <c r="F43" s="34" t="s">
        <v>25</v>
      </c>
      <c r="G43" s="34">
        <v>250000</v>
      </c>
      <c r="H43" s="22" t="s">
        <v>38</v>
      </c>
      <c r="I43" s="152" t="s">
        <v>27</v>
      </c>
      <c r="J43" s="152" t="s">
        <v>27</v>
      </c>
      <c r="K43" s="152" t="s">
        <v>27</v>
      </c>
      <c r="L43" s="152" t="s">
        <v>27</v>
      </c>
      <c r="M43" s="152" t="s">
        <v>27</v>
      </c>
      <c r="N43" s="152" t="s">
        <v>27</v>
      </c>
      <c r="O43" s="152" t="s">
        <v>27</v>
      </c>
      <c r="P43" s="152" t="s">
        <v>27</v>
      </c>
      <c r="Q43" s="152" t="s">
        <v>27</v>
      </c>
      <c r="R43" s="22"/>
      <c r="S43" s="33">
        <f t="shared" si="0"/>
        <v>2025</v>
      </c>
      <c r="T43" s="153"/>
    </row>
    <row r="44" spans="1:20" x14ac:dyDescent="0.35">
      <c r="A44" s="22" t="s">
        <v>162</v>
      </c>
      <c r="B44" s="23" t="s">
        <v>163</v>
      </c>
      <c r="C44" s="11" t="s">
        <v>164</v>
      </c>
      <c r="D44" s="22" t="s">
        <v>66</v>
      </c>
      <c r="E44" s="11" t="s">
        <v>24</v>
      </c>
      <c r="F44" s="34" t="s">
        <v>25</v>
      </c>
      <c r="G44" s="34">
        <v>1377461</v>
      </c>
      <c r="H44" s="22" t="s">
        <v>38</v>
      </c>
      <c r="I44" s="152" t="s">
        <v>27</v>
      </c>
      <c r="J44" s="152" t="s">
        <v>27</v>
      </c>
      <c r="K44" s="152" t="s">
        <v>27</v>
      </c>
      <c r="L44" s="152" t="s">
        <v>27</v>
      </c>
      <c r="M44" s="152" t="s">
        <v>27</v>
      </c>
      <c r="N44" s="152" t="s">
        <v>27</v>
      </c>
      <c r="O44" s="152" t="s">
        <v>27</v>
      </c>
      <c r="P44" s="152" t="s">
        <v>27</v>
      </c>
      <c r="Q44" s="152" t="s">
        <v>27</v>
      </c>
      <c r="R44" s="22"/>
      <c r="S44" s="33">
        <f t="shared" si="0"/>
        <v>2025</v>
      </c>
      <c r="T44" s="153"/>
    </row>
    <row r="45" spans="1:20" x14ac:dyDescent="0.35">
      <c r="A45" s="22" t="s">
        <v>165</v>
      </c>
      <c r="B45" s="23" t="s">
        <v>166</v>
      </c>
      <c r="C45" s="11" t="s">
        <v>111</v>
      </c>
      <c r="D45" s="22" t="s">
        <v>37</v>
      </c>
      <c r="E45" s="11" t="s">
        <v>24</v>
      </c>
      <c r="F45" s="34" t="s">
        <v>25</v>
      </c>
      <c r="G45" s="34">
        <f>990000+36000+1242375</f>
        <v>2268375</v>
      </c>
      <c r="H45" s="22" t="s">
        <v>38</v>
      </c>
      <c r="I45" s="152" t="s">
        <v>27</v>
      </c>
      <c r="J45" s="152" t="s">
        <v>27</v>
      </c>
      <c r="K45" s="152" t="s">
        <v>27</v>
      </c>
      <c r="L45" s="152" t="s">
        <v>27</v>
      </c>
      <c r="M45" s="152" t="s">
        <v>27</v>
      </c>
      <c r="N45" s="152" t="s">
        <v>27</v>
      </c>
      <c r="O45" s="152" t="s">
        <v>27</v>
      </c>
      <c r="P45" s="152" t="s">
        <v>27</v>
      </c>
      <c r="Q45" s="152" t="s">
        <v>27</v>
      </c>
      <c r="R45" s="22"/>
      <c r="S45" s="33">
        <f t="shared" si="0"/>
        <v>2025</v>
      </c>
      <c r="T45" s="153"/>
    </row>
    <row r="46" spans="1:20" x14ac:dyDescent="0.35">
      <c r="A46" s="22" t="s">
        <v>167</v>
      </c>
      <c r="B46" s="23" t="s">
        <v>168</v>
      </c>
      <c r="C46" s="11" t="s">
        <v>169</v>
      </c>
      <c r="D46" s="22" t="s">
        <v>42</v>
      </c>
      <c r="E46" s="11" t="s">
        <v>43</v>
      </c>
      <c r="F46" s="34" t="s">
        <v>44</v>
      </c>
      <c r="G46" s="34">
        <v>24493606</v>
      </c>
      <c r="H46" s="22" t="s">
        <v>38</v>
      </c>
      <c r="I46" s="152" t="s">
        <v>27</v>
      </c>
      <c r="J46" s="152" t="s">
        <v>27</v>
      </c>
      <c r="K46" s="152" t="s">
        <v>27</v>
      </c>
      <c r="L46" s="152" t="s">
        <v>27</v>
      </c>
      <c r="M46" s="152" t="s">
        <v>27</v>
      </c>
      <c r="N46" s="152" t="s">
        <v>27</v>
      </c>
      <c r="O46" s="152" t="s">
        <v>27</v>
      </c>
      <c r="P46" s="152" t="s">
        <v>27</v>
      </c>
      <c r="Q46" s="152" t="s">
        <v>27</v>
      </c>
      <c r="R46" s="22"/>
      <c r="S46" s="33">
        <f t="shared" si="0"/>
        <v>2025</v>
      </c>
      <c r="T46" s="153"/>
    </row>
    <row r="47" spans="1:20" x14ac:dyDescent="0.35">
      <c r="A47" s="22" t="s">
        <v>170</v>
      </c>
      <c r="B47" s="23" t="s">
        <v>171</v>
      </c>
      <c r="C47" s="11" t="s">
        <v>137</v>
      </c>
      <c r="D47" s="22" t="s">
        <v>23</v>
      </c>
      <c r="E47" s="11" t="s">
        <v>24</v>
      </c>
      <c r="F47" s="34" t="s">
        <v>25</v>
      </c>
      <c r="G47" s="34">
        <v>933900</v>
      </c>
      <c r="H47" s="22" t="s">
        <v>38</v>
      </c>
      <c r="I47" s="152" t="s">
        <v>27</v>
      </c>
      <c r="J47" s="152" t="s">
        <v>27</v>
      </c>
      <c r="K47" s="152" t="s">
        <v>27</v>
      </c>
      <c r="L47" s="152" t="s">
        <v>27</v>
      </c>
      <c r="M47" s="152" t="s">
        <v>27</v>
      </c>
      <c r="N47" s="152" t="s">
        <v>27</v>
      </c>
      <c r="O47" s="152" t="s">
        <v>27</v>
      </c>
      <c r="P47" s="152" t="s">
        <v>27</v>
      </c>
      <c r="Q47" s="152" t="s">
        <v>27</v>
      </c>
      <c r="R47" s="22"/>
      <c r="S47" s="33">
        <f t="shared" si="0"/>
        <v>2025</v>
      </c>
      <c r="T47" s="153"/>
    </row>
    <row r="48" spans="1:20" x14ac:dyDescent="0.35">
      <c r="A48" s="22" t="s">
        <v>172</v>
      </c>
      <c r="B48" s="23" t="s">
        <v>173</v>
      </c>
      <c r="C48" s="11" t="s">
        <v>174</v>
      </c>
      <c r="D48" s="22" t="s">
        <v>61</v>
      </c>
      <c r="E48" s="11" t="s">
        <v>24</v>
      </c>
      <c r="F48" s="34" t="s">
        <v>25</v>
      </c>
      <c r="G48" s="34">
        <v>550000</v>
      </c>
      <c r="H48" s="22" t="s">
        <v>38</v>
      </c>
      <c r="I48" s="152" t="s">
        <v>27</v>
      </c>
      <c r="J48" s="152" t="s">
        <v>27</v>
      </c>
      <c r="K48" s="152" t="s">
        <v>27</v>
      </c>
      <c r="L48" s="152" t="s">
        <v>27</v>
      </c>
      <c r="M48" s="152" t="s">
        <v>27</v>
      </c>
      <c r="N48" s="152" t="s">
        <v>27</v>
      </c>
      <c r="O48" s="152" t="s">
        <v>27</v>
      </c>
      <c r="P48" s="152" t="s">
        <v>27</v>
      </c>
      <c r="Q48" s="152" t="s">
        <v>27</v>
      </c>
      <c r="R48" s="152" t="s">
        <v>62</v>
      </c>
      <c r="S48" s="33">
        <f t="shared" si="0"/>
        <v>2025</v>
      </c>
      <c r="T48" s="153"/>
    </row>
    <row r="49" spans="1:20" x14ac:dyDescent="0.35">
      <c r="A49" s="22" t="s">
        <v>175</v>
      </c>
      <c r="B49" s="23" t="s">
        <v>176</v>
      </c>
      <c r="C49" s="11" t="s">
        <v>121</v>
      </c>
      <c r="D49" s="22" t="s">
        <v>48</v>
      </c>
      <c r="E49" s="11" t="s">
        <v>24</v>
      </c>
      <c r="F49" s="34" t="s">
        <v>25</v>
      </c>
      <c r="G49" s="34">
        <v>8780000</v>
      </c>
      <c r="H49" s="22" t="s">
        <v>38</v>
      </c>
      <c r="I49" s="152" t="s">
        <v>27</v>
      </c>
      <c r="J49" s="152" t="s">
        <v>27</v>
      </c>
      <c r="K49" s="152" t="s">
        <v>27</v>
      </c>
      <c r="L49" s="152" t="s">
        <v>27</v>
      </c>
      <c r="M49" s="152" t="s">
        <v>27</v>
      </c>
      <c r="N49" s="152" t="s">
        <v>27</v>
      </c>
      <c r="O49" s="152" t="s">
        <v>27</v>
      </c>
      <c r="P49" s="152" t="s">
        <v>27</v>
      </c>
      <c r="Q49" s="186" t="s">
        <v>27</v>
      </c>
      <c r="R49" s="187"/>
      <c r="S49" s="33">
        <f t="shared" si="0"/>
        <v>2025</v>
      </c>
      <c r="T49" s="153"/>
    </row>
    <row r="50" spans="1:20" ht="15.5" x14ac:dyDescent="0.35">
      <c r="A50" s="22" t="s">
        <v>177</v>
      </c>
      <c r="B50" s="23" t="s">
        <v>178</v>
      </c>
      <c r="C50" s="11" t="s">
        <v>179</v>
      </c>
      <c r="D50" s="22" t="s">
        <v>48</v>
      </c>
      <c r="E50" s="11" t="s">
        <v>43</v>
      </c>
      <c r="F50" s="34" t="s">
        <v>44</v>
      </c>
      <c r="G50" s="34">
        <v>335000</v>
      </c>
      <c r="H50" s="22" t="s">
        <v>26</v>
      </c>
      <c r="I50" s="152" t="s">
        <v>27</v>
      </c>
      <c r="J50" s="155" t="s">
        <v>28</v>
      </c>
      <c r="K50" s="152"/>
      <c r="L50" s="152"/>
      <c r="M50" s="152"/>
      <c r="N50" s="152"/>
      <c r="O50" s="152"/>
      <c r="P50" s="181"/>
      <c r="Q50" s="181"/>
      <c r="R50" s="116" t="s">
        <v>129</v>
      </c>
      <c r="S50" s="184">
        <f t="shared" si="0"/>
        <v>2025</v>
      </c>
      <c r="T50" s="153">
        <v>45883</v>
      </c>
    </row>
    <row r="51" spans="1:20" x14ac:dyDescent="0.35">
      <c r="A51" s="22" t="s">
        <v>180</v>
      </c>
      <c r="B51" s="23" t="s">
        <v>181</v>
      </c>
      <c r="C51" s="11" t="s">
        <v>182</v>
      </c>
      <c r="D51" s="22" t="s">
        <v>23</v>
      </c>
      <c r="E51" s="11" t="s">
        <v>76</v>
      </c>
      <c r="F51" s="34" t="s">
        <v>77</v>
      </c>
      <c r="G51" s="34">
        <v>8773196</v>
      </c>
      <c r="H51" s="22" t="s">
        <v>38</v>
      </c>
      <c r="I51" s="152" t="s">
        <v>27</v>
      </c>
      <c r="J51" s="152" t="s">
        <v>27</v>
      </c>
      <c r="K51" s="152" t="s">
        <v>27</v>
      </c>
      <c r="L51" s="152" t="s">
        <v>27</v>
      </c>
      <c r="M51" s="152" t="s">
        <v>27</v>
      </c>
      <c r="N51" s="152" t="s">
        <v>27</v>
      </c>
      <c r="O51" s="152" t="s">
        <v>27</v>
      </c>
      <c r="P51" s="152" t="s">
        <v>27</v>
      </c>
      <c r="Q51" s="190" t="s">
        <v>27</v>
      </c>
      <c r="R51" s="191"/>
      <c r="S51" s="33">
        <f t="shared" si="0"/>
        <v>2025</v>
      </c>
      <c r="T51" s="153"/>
    </row>
    <row r="52" spans="1:20" x14ac:dyDescent="0.35">
      <c r="A52" s="22" t="s">
        <v>183</v>
      </c>
      <c r="B52" s="23" t="s">
        <v>184</v>
      </c>
      <c r="C52" s="11" t="s">
        <v>41</v>
      </c>
      <c r="D52" s="22" t="s">
        <v>82</v>
      </c>
      <c r="E52" s="11" t="s">
        <v>43</v>
      </c>
      <c r="F52" s="34" t="s">
        <v>44</v>
      </c>
      <c r="G52" s="34">
        <v>2200000</v>
      </c>
      <c r="H52" s="22" t="s">
        <v>38</v>
      </c>
      <c r="I52" s="152" t="s">
        <v>27</v>
      </c>
      <c r="J52" s="152" t="s">
        <v>27</v>
      </c>
      <c r="K52" s="152" t="s">
        <v>27</v>
      </c>
      <c r="L52" s="152" t="s">
        <v>27</v>
      </c>
      <c r="M52" s="152" t="s">
        <v>27</v>
      </c>
      <c r="N52" s="152" t="s">
        <v>27</v>
      </c>
      <c r="O52" s="152" t="s">
        <v>27</v>
      </c>
      <c r="P52" s="152" t="s">
        <v>27</v>
      </c>
      <c r="Q52" s="152" t="s">
        <v>27</v>
      </c>
      <c r="R52" s="90"/>
      <c r="S52" s="33">
        <f t="shared" si="0"/>
        <v>2025</v>
      </c>
      <c r="T52" s="153"/>
    </row>
    <row r="53" spans="1:20" x14ac:dyDescent="0.35">
      <c r="A53" s="22" t="s">
        <v>185</v>
      </c>
      <c r="B53" s="23" t="s">
        <v>186</v>
      </c>
      <c r="C53" s="11" t="s">
        <v>41</v>
      </c>
      <c r="D53" s="22" t="s">
        <v>37</v>
      </c>
      <c r="E53" s="11" t="s">
        <v>43</v>
      </c>
      <c r="F53" s="34" t="s">
        <v>44</v>
      </c>
      <c r="G53" s="34">
        <v>5385000</v>
      </c>
      <c r="H53" s="22" t="s">
        <v>38</v>
      </c>
      <c r="I53" s="152" t="s">
        <v>27</v>
      </c>
      <c r="J53" s="152" t="s">
        <v>27</v>
      </c>
      <c r="K53" s="152" t="s">
        <v>27</v>
      </c>
      <c r="L53" s="152" t="s">
        <v>27</v>
      </c>
      <c r="M53" s="152" t="s">
        <v>27</v>
      </c>
      <c r="N53" s="152" t="s">
        <v>27</v>
      </c>
      <c r="O53" s="152" t="s">
        <v>27</v>
      </c>
      <c r="P53" s="152" t="s">
        <v>27</v>
      </c>
      <c r="Q53" s="152" t="s">
        <v>27</v>
      </c>
      <c r="R53" s="22"/>
      <c r="S53" s="33">
        <f t="shared" si="0"/>
        <v>2025</v>
      </c>
      <c r="T53" s="153"/>
    </row>
    <row r="54" spans="1:20" x14ac:dyDescent="0.35">
      <c r="A54" s="22" t="s">
        <v>187</v>
      </c>
      <c r="B54" s="23" t="s">
        <v>188</v>
      </c>
      <c r="C54" s="11" t="s">
        <v>41</v>
      </c>
      <c r="D54" s="22" t="s">
        <v>61</v>
      </c>
      <c r="E54" s="11" t="s">
        <v>43</v>
      </c>
      <c r="F54" s="34" t="s">
        <v>44</v>
      </c>
      <c r="G54" s="34">
        <v>38661654.640000001</v>
      </c>
      <c r="H54" s="22" t="s">
        <v>38</v>
      </c>
      <c r="I54" s="152" t="s">
        <v>27</v>
      </c>
      <c r="J54" s="152" t="s">
        <v>27</v>
      </c>
      <c r="K54" s="152" t="s">
        <v>27</v>
      </c>
      <c r="L54" s="152" t="s">
        <v>27</v>
      </c>
      <c r="M54" s="152" t="s">
        <v>27</v>
      </c>
      <c r="N54" s="152" t="s">
        <v>27</v>
      </c>
      <c r="O54" s="152" t="s">
        <v>27</v>
      </c>
      <c r="P54" s="152" t="s">
        <v>27</v>
      </c>
      <c r="Q54" s="152" t="s">
        <v>27</v>
      </c>
      <c r="R54" s="22"/>
      <c r="S54" s="33">
        <f t="shared" si="0"/>
        <v>2025</v>
      </c>
      <c r="T54" s="153"/>
    </row>
    <row r="55" spans="1:20" x14ac:dyDescent="0.35">
      <c r="A55" s="22" t="s">
        <v>189</v>
      </c>
      <c r="B55" s="23" t="s">
        <v>190</v>
      </c>
      <c r="C55" s="11" t="s">
        <v>41</v>
      </c>
      <c r="D55" s="22" t="s">
        <v>61</v>
      </c>
      <c r="E55" s="11" t="s">
        <v>43</v>
      </c>
      <c r="F55" s="34" t="s">
        <v>44</v>
      </c>
      <c r="G55" s="34">
        <v>33483727.199999999</v>
      </c>
      <c r="H55" s="22" t="s">
        <v>38</v>
      </c>
      <c r="I55" s="152" t="s">
        <v>27</v>
      </c>
      <c r="J55" s="152" t="s">
        <v>27</v>
      </c>
      <c r="K55" s="152" t="s">
        <v>27</v>
      </c>
      <c r="L55" s="152" t="s">
        <v>27</v>
      </c>
      <c r="M55" s="152" t="s">
        <v>27</v>
      </c>
      <c r="N55" s="152" t="s">
        <v>27</v>
      </c>
      <c r="O55" s="152" t="s">
        <v>27</v>
      </c>
      <c r="P55" s="152" t="s">
        <v>27</v>
      </c>
      <c r="Q55" s="152" t="s">
        <v>27</v>
      </c>
      <c r="R55" s="22"/>
      <c r="S55" s="33">
        <f t="shared" si="0"/>
        <v>2025</v>
      </c>
      <c r="T55" s="153"/>
    </row>
    <row r="56" spans="1:20" x14ac:dyDescent="0.35">
      <c r="A56" s="22" t="s">
        <v>191</v>
      </c>
      <c r="B56" s="23" t="s">
        <v>192</v>
      </c>
      <c r="C56" s="11" t="s">
        <v>193</v>
      </c>
      <c r="D56" s="22" t="s">
        <v>42</v>
      </c>
      <c r="E56" s="11" t="s">
        <v>43</v>
      </c>
      <c r="F56" s="34" t="s">
        <v>44</v>
      </c>
      <c r="G56" s="34">
        <v>70000</v>
      </c>
      <c r="H56" s="22" t="s">
        <v>38</v>
      </c>
      <c r="I56" s="152" t="s">
        <v>27</v>
      </c>
      <c r="J56" s="152" t="s">
        <v>27</v>
      </c>
      <c r="K56" s="152" t="s">
        <v>27</v>
      </c>
      <c r="L56" s="152" t="s">
        <v>27</v>
      </c>
      <c r="M56" s="152" t="s">
        <v>27</v>
      </c>
      <c r="N56" s="152" t="s">
        <v>27</v>
      </c>
      <c r="O56" s="152" t="s">
        <v>27</v>
      </c>
      <c r="P56" s="152" t="s">
        <v>27</v>
      </c>
      <c r="Q56" s="152" t="s">
        <v>27</v>
      </c>
      <c r="R56" s="22"/>
      <c r="S56" s="33">
        <f t="shared" si="0"/>
        <v>2025</v>
      </c>
      <c r="T56" s="153"/>
    </row>
    <row r="57" spans="1:20" x14ac:dyDescent="0.35">
      <c r="A57" s="22" t="s">
        <v>194</v>
      </c>
      <c r="B57" s="23" t="s">
        <v>195</v>
      </c>
      <c r="C57" s="11" t="s">
        <v>196</v>
      </c>
      <c r="D57" s="22" t="s">
        <v>61</v>
      </c>
      <c r="E57" s="11" t="s">
        <v>43</v>
      </c>
      <c r="F57" s="34" t="s">
        <v>44</v>
      </c>
      <c r="G57" s="34">
        <v>2897000</v>
      </c>
      <c r="H57" s="22" t="s">
        <v>38</v>
      </c>
      <c r="I57" s="152" t="s">
        <v>27</v>
      </c>
      <c r="J57" s="152" t="s">
        <v>27</v>
      </c>
      <c r="K57" s="152" t="s">
        <v>27</v>
      </c>
      <c r="L57" s="152" t="s">
        <v>27</v>
      </c>
      <c r="M57" s="152" t="s">
        <v>27</v>
      </c>
      <c r="N57" s="152" t="s">
        <v>27</v>
      </c>
      <c r="O57" s="152" t="s">
        <v>27</v>
      </c>
      <c r="P57" s="152" t="s">
        <v>27</v>
      </c>
      <c r="Q57" s="152" t="s">
        <v>27</v>
      </c>
      <c r="R57" s="22"/>
      <c r="S57" s="33">
        <f t="shared" si="0"/>
        <v>2025</v>
      </c>
      <c r="T57" s="153"/>
    </row>
    <row r="58" spans="1:20" x14ac:dyDescent="0.35">
      <c r="A58" s="6" t="s">
        <v>197</v>
      </c>
      <c r="B58" s="11" t="s">
        <v>198</v>
      </c>
      <c r="C58" s="11" t="s">
        <v>41</v>
      </c>
      <c r="D58" s="22" t="s">
        <v>82</v>
      </c>
      <c r="E58" s="11" t="s">
        <v>43</v>
      </c>
      <c r="F58" s="6" t="s">
        <v>44</v>
      </c>
      <c r="G58" s="34">
        <v>2897000</v>
      </c>
      <c r="H58" s="22" t="s">
        <v>38</v>
      </c>
      <c r="I58" s="152" t="s">
        <v>27</v>
      </c>
      <c r="J58" s="152" t="s">
        <v>27</v>
      </c>
      <c r="K58" s="152" t="s">
        <v>27</v>
      </c>
      <c r="L58" s="152" t="s">
        <v>27</v>
      </c>
      <c r="M58" s="152" t="s">
        <v>27</v>
      </c>
      <c r="N58" s="152" t="s">
        <v>27</v>
      </c>
      <c r="O58" s="152" t="s">
        <v>27</v>
      </c>
      <c r="P58" s="152" t="s">
        <v>27</v>
      </c>
      <c r="Q58" s="152" t="s">
        <v>27</v>
      </c>
      <c r="R58" s="6"/>
      <c r="S58" s="33">
        <f t="shared" si="0"/>
        <v>2025</v>
      </c>
      <c r="T58" s="153"/>
    </row>
    <row r="59" spans="1:20" x14ac:dyDescent="0.35">
      <c r="A59" s="22" t="s">
        <v>199</v>
      </c>
      <c r="B59" s="23" t="s">
        <v>200</v>
      </c>
      <c r="C59" s="11" t="s">
        <v>97</v>
      </c>
      <c r="D59" s="22" t="s">
        <v>48</v>
      </c>
      <c r="E59" s="11" t="s">
        <v>76</v>
      </c>
      <c r="F59" s="34" t="s">
        <v>53</v>
      </c>
      <c r="G59" s="34">
        <v>101000</v>
      </c>
      <c r="H59" s="22" t="s">
        <v>38</v>
      </c>
      <c r="I59" s="152" t="s">
        <v>27</v>
      </c>
      <c r="J59" s="152" t="s">
        <v>27</v>
      </c>
      <c r="K59" s="152" t="s">
        <v>27</v>
      </c>
      <c r="L59" s="152" t="s">
        <v>27</v>
      </c>
      <c r="M59" s="152" t="s">
        <v>27</v>
      </c>
      <c r="N59" s="152" t="s">
        <v>27</v>
      </c>
      <c r="O59" s="152" t="s">
        <v>27</v>
      </c>
      <c r="P59" s="152" t="s">
        <v>27</v>
      </c>
      <c r="Q59" s="186" t="s">
        <v>27</v>
      </c>
      <c r="R59" s="186"/>
      <c r="S59" s="33">
        <f t="shared" si="0"/>
        <v>2025</v>
      </c>
      <c r="T59" s="153"/>
    </row>
    <row r="60" spans="1:20" ht="15.5" x14ac:dyDescent="0.35">
      <c r="A60" s="22" t="s">
        <v>201</v>
      </c>
      <c r="B60" s="23" t="s">
        <v>202</v>
      </c>
      <c r="C60" s="11" t="s">
        <v>203</v>
      </c>
      <c r="D60" s="22" t="s">
        <v>48</v>
      </c>
      <c r="E60" s="11" t="s">
        <v>43</v>
      </c>
      <c r="F60" s="34" t="s">
        <v>25</v>
      </c>
      <c r="G60" s="34">
        <v>0</v>
      </c>
      <c r="H60" s="22" t="s">
        <v>26</v>
      </c>
      <c r="I60" s="157"/>
      <c r="J60" s="158"/>
      <c r="K60" s="157"/>
      <c r="L60" s="157"/>
      <c r="M60" s="157"/>
      <c r="N60" s="157"/>
      <c r="O60" s="157"/>
      <c r="P60" s="182"/>
      <c r="Q60" s="182"/>
      <c r="R60" s="22"/>
      <c r="S60" s="184">
        <f t="shared" si="0"/>
        <v>2025</v>
      </c>
      <c r="T60" s="153"/>
    </row>
    <row r="61" spans="1:20" x14ac:dyDescent="0.35">
      <c r="A61" s="22" t="s">
        <v>204</v>
      </c>
      <c r="B61" s="23" t="s">
        <v>205</v>
      </c>
      <c r="C61" s="11" t="s">
        <v>72</v>
      </c>
      <c r="D61" s="22" t="s">
        <v>23</v>
      </c>
      <c r="E61" s="11" t="s">
        <v>52</v>
      </c>
      <c r="F61" s="34" t="s">
        <v>25</v>
      </c>
      <c r="G61" s="34">
        <v>625000</v>
      </c>
      <c r="H61" s="22" t="s">
        <v>38</v>
      </c>
      <c r="I61" s="152" t="s">
        <v>27</v>
      </c>
      <c r="J61" s="152" t="s">
        <v>27</v>
      </c>
      <c r="K61" s="152" t="s">
        <v>27</v>
      </c>
      <c r="L61" s="152" t="s">
        <v>27</v>
      </c>
      <c r="M61" s="152" t="s">
        <v>27</v>
      </c>
      <c r="N61" s="152" t="s">
        <v>27</v>
      </c>
      <c r="O61" s="152" t="s">
        <v>27</v>
      </c>
      <c r="P61" s="152" t="s">
        <v>27</v>
      </c>
      <c r="Q61" s="190" t="s">
        <v>27</v>
      </c>
      <c r="R61" s="191"/>
      <c r="S61" s="33">
        <f t="shared" si="0"/>
        <v>2025</v>
      </c>
      <c r="T61" s="153"/>
    </row>
    <row r="62" spans="1:20" x14ac:dyDescent="0.35">
      <c r="A62" s="22" t="s">
        <v>206</v>
      </c>
      <c r="B62" s="23" t="s">
        <v>207</v>
      </c>
      <c r="C62" s="11" t="s">
        <v>208</v>
      </c>
      <c r="D62" s="22" t="s">
        <v>100</v>
      </c>
      <c r="E62" s="11" t="s">
        <v>43</v>
      </c>
      <c r="F62" s="34" t="s">
        <v>77</v>
      </c>
      <c r="G62" s="34">
        <v>1000000</v>
      </c>
      <c r="H62" s="22" t="s">
        <v>38</v>
      </c>
      <c r="I62" s="152" t="s">
        <v>27</v>
      </c>
      <c r="J62" s="152" t="s">
        <v>27</v>
      </c>
      <c r="K62" s="152" t="s">
        <v>27</v>
      </c>
      <c r="L62" s="152" t="s">
        <v>27</v>
      </c>
      <c r="M62" s="152" t="s">
        <v>27</v>
      </c>
      <c r="N62" s="152" t="s">
        <v>27</v>
      </c>
      <c r="O62" s="152" t="s">
        <v>27</v>
      </c>
      <c r="P62" s="152" t="s">
        <v>27</v>
      </c>
      <c r="Q62" s="152" t="s">
        <v>27</v>
      </c>
      <c r="R62" s="22"/>
      <c r="S62" s="33">
        <f t="shared" si="0"/>
        <v>2025</v>
      </c>
      <c r="T62" s="153"/>
    </row>
    <row r="63" spans="1:20" x14ac:dyDescent="0.35">
      <c r="A63" s="22" t="s">
        <v>209</v>
      </c>
      <c r="B63" s="23" t="s">
        <v>210</v>
      </c>
      <c r="C63" s="11" t="s">
        <v>41</v>
      </c>
      <c r="D63" s="22" t="s">
        <v>82</v>
      </c>
      <c r="E63" s="11" t="s">
        <v>43</v>
      </c>
      <c r="F63" s="34" t="s">
        <v>44</v>
      </c>
      <c r="G63" s="34">
        <v>8976902.3200000003</v>
      </c>
      <c r="H63" s="22" t="s">
        <v>38</v>
      </c>
      <c r="I63" s="152" t="s">
        <v>27</v>
      </c>
      <c r="J63" s="152" t="s">
        <v>27</v>
      </c>
      <c r="K63" s="152" t="s">
        <v>27</v>
      </c>
      <c r="L63" s="152" t="s">
        <v>27</v>
      </c>
      <c r="M63" s="152" t="s">
        <v>27</v>
      </c>
      <c r="N63" s="152" t="s">
        <v>27</v>
      </c>
      <c r="O63" s="152" t="s">
        <v>27</v>
      </c>
      <c r="P63" s="152" t="s">
        <v>27</v>
      </c>
      <c r="Q63" s="152" t="s">
        <v>27</v>
      </c>
      <c r="R63" s="22"/>
      <c r="S63" s="33">
        <f t="shared" si="0"/>
        <v>2025</v>
      </c>
      <c r="T63" s="153"/>
    </row>
    <row r="64" spans="1:20" x14ac:dyDescent="0.35">
      <c r="A64" s="22" t="s">
        <v>211</v>
      </c>
      <c r="B64" s="23" t="s">
        <v>212</v>
      </c>
      <c r="C64" s="11" t="s">
        <v>213</v>
      </c>
      <c r="D64" s="22" t="s">
        <v>37</v>
      </c>
      <c r="E64" s="11" t="s">
        <v>24</v>
      </c>
      <c r="F64" s="34" t="s">
        <v>25</v>
      </c>
      <c r="G64" s="34">
        <v>2675000</v>
      </c>
      <c r="H64" s="22" t="s">
        <v>38</v>
      </c>
      <c r="I64" s="152" t="s">
        <v>27</v>
      </c>
      <c r="J64" s="152" t="s">
        <v>27</v>
      </c>
      <c r="K64" s="152" t="s">
        <v>27</v>
      </c>
      <c r="L64" s="152" t="s">
        <v>27</v>
      </c>
      <c r="M64" s="152" t="s">
        <v>27</v>
      </c>
      <c r="N64" s="152" t="s">
        <v>27</v>
      </c>
      <c r="O64" s="152" t="s">
        <v>27</v>
      </c>
      <c r="P64" s="152" t="s">
        <v>27</v>
      </c>
      <c r="Q64" s="152" t="s">
        <v>27</v>
      </c>
      <c r="R64" s="22"/>
      <c r="S64" s="33">
        <f t="shared" si="0"/>
        <v>2025</v>
      </c>
      <c r="T64" s="153"/>
    </row>
    <row r="65" spans="1:20" x14ac:dyDescent="0.35">
      <c r="A65" s="22" t="s">
        <v>214</v>
      </c>
      <c r="B65" s="23" t="s">
        <v>215</v>
      </c>
      <c r="C65" s="11" t="s">
        <v>72</v>
      </c>
      <c r="D65" s="22" t="s">
        <v>61</v>
      </c>
      <c r="E65" s="11" t="s">
        <v>52</v>
      </c>
      <c r="F65" s="34" t="s">
        <v>53</v>
      </c>
      <c r="G65" s="34">
        <v>2400000</v>
      </c>
      <c r="H65" s="22" t="s">
        <v>38</v>
      </c>
      <c r="I65" s="152" t="s">
        <v>27</v>
      </c>
      <c r="J65" s="152" t="s">
        <v>27</v>
      </c>
      <c r="K65" s="152" t="s">
        <v>27</v>
      </c>
      <c r="L65" s="152" t="s">
        <v>27</v>
      </c>
      <c r="M65" s="152" t="s">
        <v>27</v>
      </c>
      <c r="N65" s="152" t="s">
        <v>27</v>
      </c>
      <c r="O65" s="152" t="s">
        <v>27</v>
      </c>
      <c r="P65" s="152" t="s">
        <v>27</v>
      </c>
      <c r="Q65" s="152" t="s">
        <v>27</v>
      </c>
      <c r="R65" s="22"/>
      <c r="S65" s="33">
        <f t="shared" si="0"/>
        <v>2025</v>
      </c>
      <c r="T65" s="153"/>
    </row>
    <row r="66" spans="1:20" x14ac:dyDescent="0.35">
      <c r="A66" s="22" t="s">
        <v>216</v>
      </c>
      <c r="B66" s="23" t="s">
        <v>217</v>
      </c>
      <c r="C66" s="11" t="s">
        <v>137</v>
      </c>
      <c r="D66" s="22" t="s">
        <v>23</v>
      </c>
      <c r="E66" s="11" t="s">
        <v>43</v>
      </c>
      <c r="F66" s="34" t="s">
        <v>44</v>
      </c>
      <c r="G66" s="34">
        <v>3288500</v>
      </c>
      <c r="H66" s="22" t="s">
        <v>38</v>
      </c>
      <c r="I66" s="152" t="s">
        <v>27</v>
      </c>
      <c r="J66" s="152" t="s">
        <v>27</v>
      </c>
      <c r="K66" s="152" t="s">
        <v>27</v>
      </c>
      <c r="L66" s="152" t="s">
        <v>27</v>
      </c>
      <c r="M66" s="152" t="s">
        <v>27</v>
      </c>
      <c r="N66" s="152" t="s">
        <v>27</v>
      </c>
      <c r="O66" s="152" t="s">
        <v>27</v>
      </c>
      <c r="P66" s="152" t="s">
        <v>27</v>
      </c>
      <c r="Q66" s="152" t="s">
        <v>27</v>
      </c>
      <c r="R66" s="22"/>
      <c r="S66" s="33">
        <f t="shared" si="0"/>
        <v>2025</v>
      </c>
      <c r="T66" s="153"/>
    </row>
    <row r="67" spans="1:20" x14ac:dyDescent="0.35">
      <c r="A67" s="22" t="s">
        <v>218</v>
      </c>
      <c r="B67" s="23" t="s">
        <v>219</v>
      </c>
      <c r="C67" s="11" t="s">
        <v>220</v>
      </c>
      <c r="D67" s="22" t="s">
        <v>100</v>
      </c>
      <c r="E67" s="11" t="s">
        <v>24</v>
      </c>
      <c r="F67" s="34" t="s">
        <v>25</v>
      </c>
      <c r="G67" s="34">
        <v>10000</v>
      </c>
      <c r="H67" s="22" t="s">
        <v>38</v>
      </c>
      <c r="I67" s="152" t="s">
        <v>27</v>
      </c>
      <c r="J67" s="152" t="s">
        <v>27</v>
      </c>
      <c r="K67" s="152" t="s">
        <v>27</v>
      </c>
      <c r="L67" s="152" t="s">
        <v>27</v>
      </c>
      <c r="M67" s="152" t="s">
        <v>27</v>
      </c>
      <c r="N67" s="152" t="s">
        <v>27</v>
      </c>
      <c r="O67" s="152" t="s">
        <v>27</v>
      </c>
      <c r="P67" s="152" t="s">
        <v>27</v>
      </c>
      <c r="Q67" s="152" t="s">
        <v>27</v>
      </c>
      <c r="R67" s="22"/>
      <c r="S67" s="33">
        <f t="shared" si="0"/>
        <v>2025</v>
      </c>
      <c r="T67" s="153"/>
    </row>
    <row r="68" spans="1:20" x14ac:dyDescent="0.35">
      <c r="A68" s="22" t="s">
        <v>221</v>
      </c>
      <c r="B68" s="23" t="s">
        <v>222</v>
      </c>
      <c r="C68" s="11" t="s">
        <v>223</v>
      </c>
      <c r="D68" s="22" t="s">
        <v>23</v>
      </c>
      <c r="E68" s="11" t="s">
        <v>24</v>
      </c>
      <c r="F68" s="34" t="s">
        <v>25</v>
      </c>
      <c r="G68" s="34">
        <v>100000</v>
      </c>
      <c r="H68" s="22" t="s">
        <v>38</v>
      </c>
      <c r="I68" s="152" t="s">
        <v>27</v>
      </c>
      <c r="J68" s="152" t="s">
        <v>27</v>
      </c>
      <c r="K68" s="152" t="s">
        <v>27</v>
      </c>
      <c r="L68" s="152" t="s">
        <v>27</v>
      </c>
      <c r="M68" s="152" t="s">
        <v>27</v>
      </c>
      <c r="N68" s="152" t="s">
        <v>27</v>
      </c>
      <c r="O68" s="152" t="s">
        <v>27</v>
      </c>
      <c r="P68" s="152" t="s">
        <v>27</v>
      </c>
      <c r="Q68" s="152" t="s">
        <v>27</v>
      </c>
      <c r="R68" s="22"/>
      <c r="S68" s="33">
        <f t="shared" si="0"/>
        <v>2025</v>
      </c>
      <c r="T68" s="153"/>
    </row>
    <row r="69" spans="1:20" x14ac:dyDescent="0.35">
      <c r="A69" s="22" t="s">
        <v>224</v>
      </c>
      <c r="B69" s="23" t="s">
        <v>225</v>
      </c>
      <c r="C69" s="11" t="s">
        <v>226</v>
      </c>
      <c r="D69" s="22" t="s">
        <v>23</v>
      </c>
      <c r="E69" s="11" t="s">
        <v>76</v>
      </c>
      <c r="F69" s="34" t="s">
        <v>77</v>
      </c>
      <c r="G69" s="34">
        <v>6650000</v>
      </c>
      <c r="H69" s="22" t="s">
        <v>38</v>
      </c>
      <c r="I69" s="152" t="s">
        <v>27</v>
      </c>
      <c r="J69" s="152" t="s">
        <v>27</v>
      </c>
      <c r="K69" s="152" t="s">
        <v>27</v>
      </c>
      <c r="L69" s="152" t="s">
        <v>27</v>
      </c>
      <c r="M69" s="152" t="s">
        <v>27</v>
      </c>
      <c r="N69" s="152" t="s">
        <v>27</v>
      </c>
      <c r="O69" s="152" t="s">
        <v>27</v>
      </c>
      <c r="P69" s="152" t="s">
        <v>27</v>
      </c>
      <c r="Q69" s="152" t="s">
        <v>27</v>
      </c>
      <c r="R69" s="22"/>
      <c r="S69" s="33">
        <f t="shared" si="0"/>
        <v>2025</v>
      </c>
      <c r="T69" s="153"/>
    </row>
    <row r="70" spans="1:20" x14ac:dyDescent="0.35">
      <c r="A70" s="22" t="s">
        <v>227</v>
      </c>
      <c r="B70" s="23" t="s">
        <v>228</v>
      </c>
      <c r="C70" s="11" t="s">
        <v>229</v>
      </c>
      <c r="D70" s="22" t="s">
        <v>100</v>
      </c>
      <c r="E70" s="11" t="s">
        <v>76</v>
      </c>
      <c r="F70" s="34" t="s">
        <v>77</v>
      </c>
      <c r="G70" s="34">
        <v>2942500</v>
      </c>
      <c r="H70" s="22" t="s">
        <v>38</v>
      </c>
      <c r="I70" s="152" t="s">
        <v>27</v>
      </c>
      <c r="J70" s="152" t="s">
        <v>27</v>
      </c>
      <c r="K70" s="152" t="s">
        <v>27</v>
      </c>
      <c r="L70" s="152" t="s">
        <v>27</v>
      </c>
      <c r="M70" s="152" t="s">
        <v>27</v>
      </c>
      <c r="N70" s="152" t="s">
        <v>27</v>
      </c>
      <c r="O70" s="152" t="s">
        <v>27</v>
      </c>
      <c r="P70" s="152" t="s">
        <v>27</v>
      </c>
      <c r="Q70" s="186" t="s">
        <v>27</v>
      </c>
      <c r="R70" s="187"/>
      <c r="S70" s="33">
        <f t="shared" si="0"/>
        <v>2025</v>
      </c>
      <c r="T70" s="153"/>
    </row>
    <row r="71" spans="1:20" ht="15.5" x14ac:dyDescent="0.35">
      <c r="A71" s="22" t="s">
        <v>230</v>
      </c>
      <c r="B71" s="23" t="s">
        <v>231</v>
      </c>
      <c r="C71" s="11" t="s">
        <v>232</v>
      </c>
      <c r="D71" s="22" t="s">
        <v>116</v>
      </c>
      <c r="E71" s="11" t="s">
        <v>24</v>
      </c>
      <c r="F71" s="34" t="s">
        <v>25</v>
      </c>
      <c r="G71" s="34">
        <v>1095000</v>
      </c>
      <c r="H71" s="22" t="s">
        <v>26</v>
      </c>
      <c r="I71" s="152" t="s">
        <v>27</v>
      </c>
      <c r="J71" s="155" t="s">
        <v>28</v>
      </c>
      <c r="K71" s="152"/>
      <c r="L71" s="152"/>
      <c r="M71" s="152"/>
      <c r="N71" s="152"/>
      <c r="O71" s="152"/>
      <c r="P71" s="181"/>
      <c r="Q71" s="152"/>
      <c r="R71" s="22" t="s">
        <v>233</v>
      </c>
      <c r="S71" s="184">
        <f t="shared" si="0"/>
        <v>2025</v>
      </c>
      <c r="T71" s="153">
        <v>45723</v>
      </c>
    </row>
    <row r="72" spans="1:20" ht="15.5" x14ac:dyDescent="0.35">
      <c r="A72" s="22" t="s">
        <v>234</v>
      </c>
      <c r="B72" s="23" t="s">
        <v>235</v>
      </c>
      <c r="C72" s="11" t="s">
        <v>236</v>
      </c>
      <c r="D72" s="22" t="s">
        <v>116</v>
      </c>
      <c r="E72" s="11" t="s">
        <v>24</v>
      </c>
      <c r="F72" s="34" t="s">
        <v>25</v>
      </c>
      <c r="G72" s="34">
        <v>990000</v>
      </c>
      <c r="H72" s="22" t="s">
        <v>26</v>
      </c>
      <c r="I72" s="152" t="s">
        <v>27</v>
      </c>
      <c r="J72" s="155" t="s">
        <v>28</v>
      </c>
      <c r="K72" s="152"/>
      <c r="L72" s="152"/>
      <c r="M72" s="152"/>
      <c r="N72" s="152"/>
      <c r="O72" s="152"/>
      <c r="P72" s="181"/>
      <c r="Q72" s="152"/>
      <c r="R72" s="22" t="s">
        <v>233</v>
      </c>
      <c r="S72" s="184">
        <f t="shared" si="0"/>
        <v>2025</v>
      </c>
      <c r="T72" s="153">
        <v>45723</v>
      </c>
    </row>
    <row r="73" spans="1:20" ht="15.5" x14ac:dyDescent="0.35">
      <c r="A73" s="22" t="s">
        <v>237</v>
      </c>
      <c r="B73" s="23" t="s">
        <v>238</v>
      </c>
      <c r="C73" s="11" t="s">
        <v>239</v>
      </c>
      <c r="D73" s="22" t="s">
        <v>100</v>
      </c>
      <c r="E73" s="11" t="s">
        <v>43</v>
      </c>
      <c r="F73" s="34" t="s">
        <v>44</v>
      </c>
      <c r="G73" s="34">
        <v>10000</v>
      </c>
      <c r="H73" s="22" t="s">
        <v>26</v>
      </c>
      <c r="I73" s="152" t="s">
        <v>27</v>
      </c>
      <c r="J73" s="152" t="s">
        <v>27</v>
      </c>
      <c r="K73" s="152" t="s">
        <v>27</v>
      </c>
      <c r="L73" s="152" t="s">
        <v>27</v>
      </c>
      <c r="M73" s="152" t="s">
        <v>27</v>
      </c>
      <c r="N73" s="152" t="s">
        <v>27</v>
      </c>
      <c r="O73" s="152" t="s">
        <v>27</v>
      </c>
      <c r="P73" s="183" t="s">
        <v>28</v>
      </c>
      <c r="Q73" s="152"/>
      <c r="R73" s="22" t="s">
        <v>240</v>
      </c>
      <c r="S73" s="184">
        <f t="shared" si="0"/>
        <v>2025</v>
      </c>
      <c r="T73" s="153">
        <v>45684</v>
      </c>
    </row>
    <row r="74" spans="1:20" x14ac:dyDescent="0.35">
      <c r="A74" s="22" t="s">
        <v>241</v>
      </c>
      <c r="B74" s="23" t="s">
        <v>242</v>
      </c>
      <c r="C74" s="11" t="s">
        <v>243</v>
      </c>
      <c r="D74" s="22" t="s">
        <v>48</v>
      </c>
      <c r="E74" s="11" t="s">
        <v>43</v>
      </c>
      <c r="F74" s="34" t="s">
        <v>44</v>
      </c>
      <c r="G74" s="34">
        <v>1489500</v>
      </c>
      <c r="H74" s="22" t="s">
        <v>38</v>
      </c>
      <c r="I74" s="152" t="s">
        <v>27</v>
      </c>
      <c r="J74" s="152" t="s">
        <v>27</v>
      </c>
      <c r="K74" s="152" t="s">
        <v>27</v>
      </c>
      <c r="L74" s="152" t="s">
        <v>27</v>
      </c>
      <c r="M74" s="152" t="s">
        <v>27</v>
      </c>
      <c r="N74" s="152" t="s">
        <v>27</v>
      </c>
      <c r="O74" s="152" t="s">
        <v>27</v>
      </c>
      <c r="P74" s="152" t="s">
        <v>27</v>
      </c>
      <c r="Q74" s="190" t="s">
        <v>27</v>
      </c>
      <c r="R74" s="191"/>
      <c r="S74" s="33">
        <f t="shared" ref="S74:S137" si="1">IFERROR(2000+VALUE(LEFT(A74,2)),"")</f>
        <v>2025</v>
      </c>
      <c r="T74" s="153"/>
    </row>
    <row r="75" spans="1:20" x14ac:dyDescent="0.35">
      <c r="A75" s="22" t="s">
        <v>244</v>
      </c>
      <c r="B75" s="23" t="s">
        <v>245</v>
      </c>
      <c r="C75" s="11" t="s">
        <v>246</v>
      </c>
      <c r="D75" s="22" t="s">
        <v>42</v>
      </c>
      <c r="E75" s="11" t="s">
        <v>43</v>
      </c>
      <c r="F75" s="34" t="s">
        <v>247</v>
      </c>
      <c r="G75" s="34">
        <v>4002</v>
      </c>
      <c r="H75" s="22" t="s">
        <v>38</v>
      </c>
      <c r="I75" s="152" t="s">
        <v>27</v>
      </c>
      <c r="J75" s="152" t="s">
        <v>27</v>
      </c>
      <c r="K75" s="152" t="s">
        <v>27</v>
      </c>
      <c r="L75" s="152" t="s">
        <v>27</v>
      </c>
      <c r="M75" s="152" t="s">
        <v>27</v>
      </c>
      <c r="N75" s="152" t="s">
        <v>27</v>
      </c>
      <c r="O75" s="152" t="s">
        <v>27</v>
      </c>
      <c r="P75" s="152" t="s">
        <v>27</v>
      </c>
      <c r="Q75" s="186" t="s">
        <v>27</v>
      </c>
      <c r="R75" s="187"/>
      <c r="S75" s="33">
        <f t="shared" si="1"/>
        <v>2024</v>
      </c>
      <c r="T75" s="153"/>
    </row>
    <row r="76" spans="1:20" x14ac:dyDescent="0.35">
      <c r="A76" s="22" t="s">
        <v>248</v>
      </c>
      <c r="B76" s="23" t="s">
        <v>249</v>
      </c>
      <c r="C76" s="11" t="s">
        <v>250</v>
      </c>
      <c r="D76" s="22" t="s">
        <v>42</v>
      </c>
      <c r="E76" s="11" t="s">
        <v>43</v>
      </c>
      <c r="F76" s="34" t="s">
        <v>25</v>
      </c>
      <c r="G76" s="34">
        <v>0</v>
      </c>
      <c r="H76" s="22" t="s">
        <v>26</v>
      </c>
      <c r="I76" s="157"/>
      <c r="J76" s="157"/>
      <c r="K76" s="157"/>
      <c r="L76" s="157"/>
      <c r="M76" s="157"/>
      <c r="N76" s="157"/>
      <c r="O76" s="157"/>
      <c r="P76" s="182"/>
      <c r="Q76" s="182"/>
      <c r="R76" s="22"/>
      <c r="S76" s="184">
        <f t="shared" si="1"/>
        <v>2024</v>
      </c>
      <c r="T76" s="153"/>
    </row>
    <row r="77" spans="1:20" x14ac:dyDescent="0.35">
      <c r="A77" s="22" t="s">
        <v>251</v>
      </c>
      <c r="B77" s="23" t="s">
        <v>252</v>
      </c>
      <c r="C77" s="11" t="s">
        <v>253</v>
      </c>
      <c r="D77" s="22" t="s">
        <v>42</v>
      </c>
      <c r="E77" s="11" t="s">
        <v>43</v>
      </c>
      <c r="F77" s="34" t="s">
        <v>44</v>
      </c>
      <c r="G77" s="34">
        <v>678615</v>
      </c>
      <c r="H77" s="22" t="s">
        <v>38</v>
      </c>
      <c r="I77" s="152" t="s">
        <v>27</v>
      </c>
      <c r="J77" s="152" t="s">
        <v>27</v>
      </c>
      <c r="K77" s="152" t="s">
        <v>27</v>
      </c>
      <c r="L77" s="152" t="s">
        <v>27</v>
      </c>
      <c r="M77" s="152" t="s">
        <v>27</v>
      </c>
      <c r="N77" s="152" t="s">
        <v>27</v>
      </c>
      <c r="O77" s="152" t="s">
        <v>27</v>
      </c>
      <c r="P77" s="152" t="s">
        <v>27</v>
      </c>
      <c r="Q77" s="190" t="s">
        <v>27</v>
      </c>
      <c r="R77" s="191"/>
      <c r="S77" s="33">
        <f t="shared" si="1"/>
        <v>2024</v>
      </c>
      <c r="T77" s="153"/>
    </row>
    <row r="78" spans="1:20" x14ac:dyDescent="0.35">
      <c r="A78" s="22" t="s">
        <v>254</v>
      </c>
      <c r="B78" s="23" t="s">
        <v>255</v>
      </c>
      <c r="C78" s="11" t="s">
        <v>41</v>
      </c>
      <c r="D78" s="22" t="s">
        <v>48</v>
      </c>
      <c r="E78" s="11" t="s">
        <v>43</v>
      </c>
      <c r="F78" s="34" t="s">
        <v>53</v>
      </c>
      <c r="G78" s="34">
        <v>250000</v>
      </c>
      <c r="H78" s="22" t="s">
        <v>38</v>
      </c>
      <c r="I78" s="152" t="s">
        <v>27</v>
      </c>
      <c r="J78" s="152" t="s">
        <v>27</v>
      </c>
      <c r="K78" s="152" t="s">
        <v>27</v>
      </c>
      <c r="L78" s="152" t="s">
        <v>27</v>
      </c>
      <c r="M78" s="152" t="s">
        <v>27</v>
      </c>
      <c r="N78" s="152" t="s">
        <v>27</v>
      </c>
      <c r="O78" s="152" t="s">
        <v>27</v>
      </c>
      <c r="P78" s="152" t="s">
        <v>27</v>
      </c>
      <c r="Q78" s="152" t="s">
        <v>27</v>
      </c>
      <c r="R78" s="22"/>
      <c r="S78" s="33">
        <f t="shared" si="1"/>
        <v>2024</v>
      </c>
      <c r="T78" s="153"/>
    </row>
    <row r="79" spans="1:20" x14ac:dyDescent="0.35">
      <c r="A79" s="22" t="s">
        <v>256</v>
      </c>
      <c r="B79" s="23" t="s">
        <v>257</v>
      </c>
      <c r="C79" s="11" t="s">
        <v>41</v>
      </c>
      <c r="D79" s="22" t="s">
        <v>48</v>
      </c>
      <c r="E79" s="11" t="s">
        <v>43</v>
      </c>
      <c r="F79" s="34" t="s">
        <v>53</v>
      </c>
      <c r="G79" s="34">
        <v>40000</v>
      </c>
      <c r="H79" s="22" t="s">
        <v>38</v>
      </c>
      <c r="I79" s="152" t="s">
        <v>27</v>
      </c>
      <c r="J79" s="152" t="s">
        <v>27</v>
      </c>
      <c r="K79" s="152" t="s">
        <v>27</v>
      </c>
      <c r="L79" s="152" t="s">
        <v>27</v>
      </c>
      <c r="M79" s="152" t="s">
        <v>27</v>
      </c>
      <c r="N79" s="152" t="s">
        <v>27</v>
      </c>
      <c r="O79" s="152" t="s">
        <v>27</v>
      </c>
      <c r="P79" s="152" t="s">
        <v>27</v>
      </c>
      <c r="Q79" s="152" t="s">
        <v>27</v>
      </c>
      <c r="R79" s="22"/>
      <c r="S79" s="33">
        <f t="shared" si="1"/>
        <v>2024</v>
      </c>
      <c r="T79" s="153"/>
    </row>
    <row r="80" spans="1:20" x14ac:dyDescent="0.35">
      <c r="A80" s="22" t="s">
        <v>258</v>
      </c>
      <c r="B80" s="23" t="s">
        <v>259</v>
      </c>
      <c r="C80" s="11" t="s">
        <v>41</v>
      </c>
      <c r="D80" s="22" t="s">
        <v>48</v>
      </c>
      <c r="E80" s="11" t="s">
        <v>43</v>
      </c>
      <c r="F80" s="34" t="s">
        <v>53</v>
      </c>
      <c r="G80" s="34">
        <v>82000</v>
      </c>
      <c r="H80" s="22" t="s">
        <v>38</v>
      </c>
      <c r="I80" s="152" t="s">
        <v>27</v>
      </c>
      <c r="J80" s="152" t="s">
        <v>27</v>
      </c>
      <c r="K80" s="152" t="s">
        <v>27</v>
      </c>
      <c r="L80" s="152" t="s">
        <v>27</v>
      </c>
      <c r="M80" s="152" t="s">
        <v>27</v>
      </c>
      <c r="N80" s="152" t="s">
        <v>27</v>
      </c>
      <c r="O80" s="152" t="s">
        <v>27</v>
      </c>
      <c r="P80" s="152" t="s">
        <v>27</v>
      </c>
      <c r="Q80" s="152" t="s">
        <v>27</v>
      </c>
      <c r="R80" s="22"/>
      <c r="S80" s="33">
        <f t="shared" si="1"/>
        <v>2024</v>
      </c>
      <c r="T80" s="153"/>
    </row>
    <row r="81" spans="1:20" x14ac:dyDescent="0.35">
      <c r="A81" s="22" t="s">
        <v>260</v>
      </c>
      <c r="B81" s="23" t="s">
        <v>261</v>
      </c>
      <c r="C81" s="11" t="s">
        <v>41</v>
      </c>
      <c r="D81" s="22" t="s">
        <v>48</v>
      </c>
      <c r="E81" s="11" t="s">
        <v>43</v>
      </c>
      <c r="F81" s="34" t="s">
        <v>53</v>
      </c>
      <c r="G81" s="34">
        <v>196521.22</v>
      </c>
      <c r="H81" s="22" t="s">
        <v>38</v>
      </c>
      <c r="I81" s="152" t="s">
        <v>27</v>
      </c>
      <c r="J81" s="152" t="s">
        <v>27</v>
      </c>
      <c r="K81" s="152" t="s">
        <v>27</v>
      </c>
      <c r="L81" s="152" t="s">
        <v>27</v>
      </c>
      <c r="M81" s="152" t="s">
        <v>27</v>
      </c>
      <c r="N81" s="152" t="s">
        <v>27</v>
      </c>
      <c r="O81" s="152" t="s">
        <v>27</v>
      </c>
      <c r="P81" s="152" t="s">
        <v>27</v>
      </c>
      <c r="Q81" s="152" t="s">
        <v>27</v>
      </c>
      <c r="R81" s="22"/>
      <c r="S81" s="33">
        <f t="shared" si="1"/>
        <v>2024</v>
      </c>
      <c r="T81" s="153"/>
    </row>
    <row r="82" spans="1:20" x14ac:dyDescent="0.35">
      <c r="A82" s="22" t="s">
        <v>262</v>
      </c>
      <c r="B82" s="23" t="s">
        <v>263</v>
      </c>
      <c r="C82" s="11" t="s">
        <v>41</v>
      </c>
      <c r="D82" s="22" t="s">
        <v>48</v>
      </c>
      <c r="E82" s="11" t="s">
        <v>43</v>
      </c>
      <c r="F82" s="34" t="s">
        <v>247</v>
      </c>
      <c r="G82" s="34">
        <v>38504</v>
      </c>
      <c r="H82" s="22" t="s">
        <v>38</v>
      </c>
      <c r="I82" s="152" t="s">
        <v>27</v>
      </c>
      <c r="J82" s="152" t="s">
        <v>27</v>
      </c>
      <c r="K82" s="152" t="s">
        <v>27</v>
      </c>
      <c r="L82" s="152" t="s">
        <v>27</v>
      </c>
      <c r="M82" s="152" t="s">
        <v>27</v>
      </c>
      <c r="N82" s="152" t="s">
        <v>27</v>
      </c>
      <c r="O82" s="152" t="s">
        <v>27</v>
      </c>
      <c r="P82" s="152" t="s">
        <v>27</v>
      </c>
      <c r="Q82" s="186" t="s">
        <v>27</v>
      </c>
      <c r="R82" s="187"/>
      <c r="S82" s="33">
        <f t="shared" si="1"/>
        <v>2024</v>
      </c>
      <c r="T82" s="153"/>
    </row>
    <row r="83" spans="1:20" ht="15.5" x14ac:dyDescent="0.35">
      <c r="A83" s="22" t="s">
        <v>264</v>
      </c>
      <c r="B83" s="23" t="s">
        <v>265</v>
      </c>
      <c r="C83" s="11" t="s">
        <v>41</v>
      </c>
      <c r="D83" s="22" t="s">
        <v>48</v>
      </c>
      <c r="E83" s="11" t="s">
        <v>43</v>
      </c>
      <c r="F83" s="34" t="s">
        <v>247</v>
      </c>
      <c r="G83" s="34">
        <v>42002</v>
      </c>
      <c r="H83" s="22" t="s">
        <v>26</v>
      </c>
      <c r="I83" s="152" t="s">
        <v>27</v>
      </c>
      <c r="J83" s="155" t="s">
        <v>28</v>
      </c>
      <c r="K83" s="152"/>
      <c r="L83" s="152"/>
      <c r="M83" s="152"/>
      <c r="N83" s="152"/>
      <c r="O83" s="152"/>
      <c r="P83" s="181"/>
      <c r="Q83" s="152"/>
      <c r="R83" s="22" t="s">
        <v>266</v>
      </c>
      <c r="S83" s="184">
        <f t="shared" si="1"/>
        <v>2024</v>
      </c>
      <c r="T83" s="153">
        <v>45531</v>
      </c>
    </row>
    <row r="84" spans="1:20" x14ac:dyDescent="0.35">
      <c r="A84" s="22" t="s">
        <v>267</v>
      </c>
      <c r="B84" s="23" t="s">
        <v>268</v>
      </c>
      <c r="C84" s="11" t="s">
        <v>269</v>
      </c>
      <c r="D84" s="22" t="s">
        <v>37</v>
      </c>
      <c r="E84" s="11" t="s">
        <v>43</v>
      </c>
      <c r="F84" s="34" t="s">
        <v>44</v>
      </c>
      <c r="G84" s="34">
        <v>570000</v>
      </c>
      <c r="H84" s="22" t="s">
        <v>38</v>
      </c>
      <c r="I84" s="152" t="s">
        <v>27</v>
      </c>
      <c r="J84" s="152" t="s">
        <v>27</v>
      </c>
      <c r="K84" s="152" t="s">
        <v>27</v>
      </c>
      <c r="L84" s="152" t="s">
        <v>27</v>
      </c>
      <c r="M84" s="152" t="s">
        <v>27</v>
      </c>
      <c r="N84" s="152" t="s">
        <v>27</v>
      </c>
      <c r="O84" s="152" t="s">
        <v>27</v>
      </c>
      <c r="P84" s="152" t="s">
        <v>27</v>
      </c>
      <c r="Q84" s="190" t="s">
        <v>27</v>
      </c>
      <c r="R84" s="191"/>
      <c r="S84" s="33">
        <f t="shared" si="1"/>
        <v>2024</v>
      </c>
      <c r="T84" s="153"/>
    </row>
    <row r="85" spans="1:20" x14ac:dyDescent="0.35">
      <c r="A85" s="22" t="s">
        <v>270</v>
      </c>
      <c r="B85" s="23" t="s">
        <v>271</v>
      </c>
      <c r="C85" s="11" t="s">
        <v>72</v>
      </c>
      <c r="D85" s="22" t="s">
        <v>23</v>
      </c>
      <c r="E85" s="11" t="s">
        <v>52</v>
      </c>
      <c r="F85" s="34" t="s">
        <v>25</v>
      </c>
      <c r="G85" s="34">
        <v>552000</v>
      </c>
      <c r="H85" s="22" t="s">
        <v>38</v>
      </c>
      <c r="I85" s="152" t="s">
        <v>27</v>
      </c>
      <c r="J85" s="152" t="s">
        <v>27</v>
      </c>
      <c r="K85" s="152" t="s">
        <v>27</v>
      </c>
      <c r="L85" s="152" t="s">
        <v>27</v>
      </c>
      <c r="M85" s="152" t="s">
        <v>27</v>
      </c>
      <c r="N85" s="152" t="s">
        <v>27</v>
      </c>
      <c r="O85" s="152" t="s">
        <v>27</v>
      </c>
      <c r="P85" s="152" t="s">
        <v>27</v>
      </c>
      <c r="Q85" s="152" t="s">
        <v>27</v>
      </c>
      <c r="R85" s="22"/>
      <c r="S85" s="33">
        <f t="shared" si="1"/>
        <v>2024</v>
      </c>
      <c r="T85" s="153"/>
    </row>
    <row r="86" spans="1:20" x14ac:dyDescent="0.35">
      <c r="A86" s="22" t="s">
        <v>272</v>
      </c>
      <c r="B86" s="23" t="s">
        <v>273</v>
      </c>
      <c r="C86" s="11" t="s">
        <v>72</v>
      </c>
      <c r="D86" s="22" t="s">
        <v>42</v>
      </c>
      <c r="E86" s="11" t="s">
        <v>52</v>
      </c>
      <c r="F86" s="34" t="s">
        <v>25</v>
      </c>
      <c r="G86" s="34">
        <v>552000</v>
      </c>
      <c r="H86" s="22" t="s">
        <v>38</v>
      </c>
      <c r="I86" s="152" t="s">
        <v>27</v>
      </c>
      <c r="J86" s="152" t="s">
        <v>27</v>
      </c>
      <c r="K86" s="152" t="s">
        <v>27</v>
      </c>
      <c r="L86" s="152" t="s">
        <v>27</v>
      </c>
      <c r="M86" s="152" t="s">
        <v>27</v>
      </c>
      <c r="N86" s="152" t="s">
        <v>27</v>
      </c>
      <c r="O86" s="152" t="s">
        <v>27</v>
      </c>
      <c r="P86" s="152" t="s">
        <v>27</v>
      </c>
      <c r="Q86" s="152" t="s">
        <v>27</v>
      </c>
      <c r="R86" s="22"/>
      <c r="S86" s="33">
        <f t="shared" si="1"/>
        <v>2024</v>
      </c>
      <c r="T86" s="153"/>
    </row>
    <row r="87" spans="1:20" x14ac:dyDescent="0.35">
      <c r="A87" s="22" t="s">
        <v>274</v>
      </c>
      <c r="B87" s="23" t="s">
        <v>275</v>
      </c>
      <c r="C87" s="11" t="s">
        <v>276</v>
      </c>
      <c r="D87" s="22" t="s">
        <v>48</v>
      </c>
      <c r="E87" s="11" t="s">
        <v>43</v>
      </c>
      <c r="F87" s="34" t="s">
        <v>25</v>
      </c>
      <c r="G87" s="34">
        <v>1547315</v>
      </c>
      <c r="H87" s="22" t="s">
        <v>38</v>
      </c>
      <c r="I87" s="152" t="s">
        <v>27</v>
      </c>
      <c r="J87" s="152" t="s">
        <v>27</v>
      </c>
      <c r="K87" s="152" t="s">
        <v>27</v>
      </c>
      <c r="L87" s="152" t="s">
        <v>27</v>
      </c>
      <c r="M87" s="152" t="s">
        <v>27</v>
      </c>
      <c r="N87" s="152" t="s">
        <v>27</v>
      </c>
      <c r="O87" s="152" t="s">
        <v>27</v>
      </c>
      <c r="P87" s="152" t="s">
        <v>27</v>
      </c>
      <c r="Q87" s="152" t="s">
        <v>27</v>
      </c>
      <c r="R87" s="22"/>
      <c r="S87" s="33">
        <f t="shared" si="1"/>
        <v>2024</v>
      </c>
      <c r="T87" s="153"/>
    </row>
    <row r="88" spans="1:20" x14ac:dyDescent="0.35">
      <c r="A88" s="22" t="s">
        <v>277</v>
      </c>
      <c r="B88" s="23" t="s">
        <v>278</v>
      </c>
      <c r="C88" s="11" t="s">
        <v>243</v>
      </c>
      <c r="D88" s="22" t="s">
        <v>42</v>
      </c>
      <c r="E88" s="11" t="s">
        <v>43</v>
      </c>
      <c r="F88" s="34" t="s">
        <v>44</v>
      </c>
      <c r="G88" s="34">
        <v>300000</v>
      </c>
      <c r="H88" s="22" t="s">
        <v>38</v>
      </c>
      <c r="I88" s="152" t="s">
        <v>27</v>
      </c>
      <c r="J88" s="152" t="s">
        <v>27</v>
      </c>
      <c r="K88" s="152" t="s">
        <v>27</v>
      </c>
      <c r="L88" s="152" t="s">
        <v>27</v>
      </c>
      <c r="M88" s="152" t="s">
        <v>27</v>
      </c>
      <c r="N88" s="152" t="s">
        <v>27</v>
      </c>
      <c r="O88" s="152" t="s">
        <v>27</v>
      </c>
      <c r="P88" s="152" t="s">
        <v>27</v>
      </c>
      <c r="Q88" s="152" t="s">
        <v>27</v>
      </c>
      <c r="R88" s="22"/>
      <c r="S88" s="33">
        <f t="shared" si="1"/>
        <v>2024</v>
      </c>
      <c r="T88" s="153"/>
    </row>
    <row r="89" spans="1:20" x14ac:dyDescent="0.35">
      <c r="A89" s="22" t="s">
        <v>279</v>
      </c>
      <c r="B89" s="23" t="s">
        <v>280</v>
      </c>
      <c r="C89" s="11" t="s">
        <v>281</v>
      </c>
      <c r="D89" s="22" t="s">
        <v>37</v>
      </c>
      <c r="E89" s="11" t="s">
        <v>43</v>
      </c>
      <c r="F89" s="34" t="s">
        <v>44</v>
      </c>
      <c r="G89" s="34">
        <v>1330000</v>
      </c>
      <c r="H89" s="22" t="s">
        <v>38</v>
      </c>
      <c r="I89" s="152" t="s">
        <v>27</v>
      </c>
      <c r="J89" s="152" t="s">
        <v>27</v>
      </c>
      <c r="K89" s="152" t="s">
        <v>27</v>
      </c>
      <c r="L89" s="152" t="s">
        <v>27</v>
      </c>
      <c r="M89" s="152" t="s">
        <v>27</v>
      </c>
      <c r="N89" s="152" t="s">
        <v>27</v>
      </c>
      <c r="O89" s="152" t="s">
        <v>27</v>
      </c>
      <c r="P89" s="152" t="s">
        <v>27</v>
      </c>
      <c r="Q89" s="186" t="s">
        <v>27</v>
      </c>
      <c r="R89" s="189"/>
      <c r="S89" s="33">
        <f t="shared" si="1"/>
        <v>2024</v>
      </c>
      <c r="T89" s="153"/>
    </row>
    <row r="90" spans="1:20" ht="15.5" x14ac:dyDescent="0.35">
      <c r="A90" s="22" t="s">
        <v>282</v>
      </c>
      <c r="B90" s="23" t="s">
        <v>283</v>
      </c>
      <c r="C90" s="11" t="s">
        <v>284</v>
      </c>
      <c r="D90" s="22" t="s">
        <v>61</v>
      </c>
      <c r="E90" s="11" t="s">
        <v>43</v>
      </c>
      <c r="F90" s="34" t="s">
        <v>25</v>
      </c>
      <c r="G90" s="34">
        <v>3170000</v>
      </c>
      <c r="H90" s="22" t="s">
        <v>26</v>
      </c>
      <c r="I90" s="152" t="s">
        <v>27</v>
      </c>
      <c r="J90" s="152" t="s">
        <v>27</v>
      </c>
      <c r="K90" s="152" t="s">
        <v>27</v>
      </c>
      <c r="L90" s="152" t="s">
        <v>27</v>
      </c>
      <c r="M90" s="155" t="s">
        <v>28</v>
      </c>
      <c r="N90" s="152"/>
      <c r="O90" s="152"/>
      <c r="P90" s="181"/>
      <c r="Q90" s="152"/>
      <c r="R90" s="154" t="s">
        <v>285</v>
      </c>
      <c r="S90" s="184">
        <f t="shared" si="1"/>
        <v>2024</v>
      </c>
      <c r="T90" s="153">
        <v>45894</v>
      </c>
    </row>
    <row r="91" spans="1:20" x14ac:dyDescent="0.35">
      <c r="A91" s="22" t="s">
        <v>286</v>
      </c>
      <c r="B91" s="23" t="s">
        <v>287</v>
      </c>
      <c r="C91" s="11" t="s">
        <v>288</v>
      </c>
      <c r="D91" s="22" t="s">
        <v>82</v>
      </c>
      <c r="E91" s="11" t="s">
        <v>24</v>
      </c>
      <c r="F91" s="34" t="s">
        <v>25</v>
      </c>
      <c r="G91" s="34">
        <v>1360000</v>
      </c>
      <c r="H91" s="22" t="s">
        <v>38</v>
      </c>
      <c r="I91" s="152" t="s">
        <v>27</v>
      </c>
      <c r="J91" s="152" t="s">
        <v>27</v>
      </c>
      <c r="K91" s="152" t="s">
        <v>27</v>
      </c>
      <c r="L91" s="152" t="s">
        <v>27</v>
      </c>
      <c r="M91" s="152" t="s">
        <v>27</v>
      </c>
      <c r="N91" s="152" t="s">
        <v>27</v>
      </c>
      <c r="O91" s="152" t="s">
        <v>27</v>
      </c>
      <c r="P91" s="152" t="s">
        <v>27</v>
      </c>
      <c r="Q91" s="190" t="s">
        <v>27</v>
      </c>
      <c r="R91" s="191"/>
      <c r="S91" s="33">
        <f t="shared" si="1"/>
        <v>2024</v>
      </c>
      <c r="T91" s="153"/>
    </row>
    <row r="92" spans="1:20" x14ac:dyDescent="0.35">
      <c r="A92" s="22" t="s">
        <v>289</v>
      </c>
      <c r="B92" s="23" t="s">
        <v>290</v>
      </c>
      <c r="C92" s="11" t="s">
        <v>291</v>
      </c>
      <c r="D92" s="22" t="s">
        <v>42</v>
      </c>
      <c r="E92" s="11" t="s">
        <v>24</v>
      </c>
      <c r="F92" s="34" t="s">
        <v>25</v>
      </c>
      <c r="G92" s="34">
        <v>4300000</v>
      </c>
      <c r="H92" s="22" t="s">
        <v>38</v>
      </c>
      <c r="I92" s="152" t="s">
        <v>27</v>
      </c>
      <c r="J92" s="152" t="s">
        <v>27</v>
      </c>
      <c r="K92" s="152" t="s">
        <v>27</v>
      </c>
      <c r="L92" s="152" t="s">
        <v>27</v>
      </c>
      <c r="M92" s="152" t="s">
        <v>27</v>
      </c>
      <c r="N92" s="152" t="s">
        <v>27</v>
      </c>
      <c r="O92" s="152" t="s">
        <v>27</v>
      </c>
      <c r="P92" s="152" t="s">
        <v>27</v>
      </c>
      <c r="Q92" s="186" t="s">
        <v>27</v>
      </c>
      <c r="R92" s="187"/>
      <c r="S92" s="33">
        <f t="shared" si="1"/>
        <v>2024</v>
      </c>
      <c r="T92" s="153"/>
    </row>
    <row r="93" spans="1:20" x14ac:dyDescent="0.35">
      <c r="A93" s="22" t="s">
        <v>292</v>
      </c>
      <c r="B93" s="23" t="s">
        <v>293</v>
      </c>
      <c r="C93" s="11" t="s">
        <v>294</v>
      </c>
      <c r="D93" s="22" t="s">
        <v>37</v>
      </c>
      <c r="E93" s="11" t="s">
        <v>24</v>
      </c>
      <c r="F93" s="34" t="s">
        <v>25</v>
      </c>
      <c r="G93" s="34">
        <v>0</v>
      </c>
      <c r="H93" s="22" t="s">
        <v>26</v>
      </c>
      <c r="I93" s="157"/>
      <c r="J93" s="157"/>
      <c r="K93" s="157"/>
      <c r="L93" s="157"/>
      <c r="M93" s="157"/>
      <c r="N93" s="157"/>
      <c r="O93" s="157"/>
      <c r="P93" s="182"/>
      <c r="Q93" s="182"/>
      <c r="R93" s="22"/>
      <c r="S93" s="184">
        <f t="shared" si="1"/>
        <v>2024</v>
      </c>
      <c r="T93" s="153"/>
    </row>
    <row r="94" spans="1:20" x14ac:dyDescent="0.35">
      <c r="A94" s="22" t="s">
        <v>295</v>
      </c>
      <c r="B94" s="23" t="s">
        <v>296</v>
      </c>
      <c r="C94" s="11" t="s">
        <v>297</v>
      </c>
      <c r="D94" s="22" t="s">
        <v>48</v>
      </c>
      <c r="E94" s="11" t="s">
        <v>24</v>
      </c>
      <c r="F94" s="34" t="s">
        <v>25</v>
      </c>
      <c r="G94" s="34">
        <v>5051780</v>
      </c>
      <c r="H94" s="22" t="s">
        <v>38</v>
      </c>
      <c r="I94" s="152" t="s">
        <v>27</v>
      </c>
      <c r="J94" s="152" t="s">
        <v>27</v>
      </c>
      <c r="K94" s="152" t="s">
        <v>27</v>
      </c>
      <c r="L94" s="152" t="s">
        <v>27</v>
      </c>
      <c r="M94" s="152" t="s">
        <v>27</v>
      </c>
      <c r="N94" s="152" t="s">
        <v>27</v>
      </c>
      <c r="O94" s="152" t="s">
        <v>27</v>
      </c>
      <c r="P94" s="152" t="s">
        <v>27</v>
      </c>
      <c r="Q94" s="190" t="s">
        <v>27</v>
      </c>
      <c r="R94" s="191"/>
      <c r="S94" s="33">
        <f t="shared" si="1"/>
        <v>2024</v>
      </c>
      <c r="T94" s="153"/>
    </row>
    <row r="95" spans="1:20" x14ac:dyDescent="0.35">
      <c r="A95" s="22" t="s">
        <v>298</v>
      </c>
      <c r="B95" s="23" t="s">
        <v>299</v>
      </c>
      <c r="C95" s="11" t="s">
        <v>300</v>
      </c>
      <c r="D95" s="22" t="s">
        <v>23</v>
      </c>
      <c r="E95" s="11" t="s">
        <v>24</v>
      </c>
      <c r="F95" s="34" t="s">
        <v>25</v>
      </c>
      <c r="G95" s="34">
        <v>323000</v>
      </c>
      <c r="H95" s="22" t="s">
        <v>38</v>
      </c>
      <c r="I95" s="152" t="s">
        <v>27</v>
      </c>
      <c r="J95" s="152" t="s">
        <v>27</v>
      </c>
      <c r="K95" s="152" t="s">
        <v>27</v>
      </c>
      <c r="L95" s="152" t="s">
        <v>27</v>
      </c>
      <c r="M95" s="152" t="s">
        <v>27</v>
      </c>
      <c r="N95" s="152" t="s">
        <v>27</v>
      </c>
      <c r="O95" s="152" t="s">
        <v>27</v>
      </c>
      <c r="P95" s="152" t="s">
        <v>27</v>
      </c>
      <c r="Q95" s="152" t="s">
        <v>27</v>
      </c>
      <c r="R95" s="22"/>
      <c r="S95" s="33">
        <f t="shared" si="1"/>
        <v>2024</v>
      </c>
      <c r="T95" s="153"/>
    </row>
    <row r="96" spans="1:20" x14ac:dyDescent="0.35">
      <c r="A96" s="22" t="s">
        <v>301</v>
      </c>
      <c r="B96" s="23" t="s">
        <v>302</v>
      </c>
      <c r="C96" s="11" t="s">
        <v>303</v>
      </c>
      <c r="D96" s="22" t="s">
        <v>23</v>
      </c>
      <c r="E96" s="11" t="s">
        <v>24</v>
      </c>
      <c r="F96" s="34" t="s">
        <v>25</v>
      </c>
      <c r="G96" s="34">
        <v>3750000</v>
      </c>
      <c r="H96" s="22" t="s">
        <v>38</v>
      </c>
      <c r="I96" s="152" t="s">
        <v>27</v>
      </c>
      <c r="J96" s="152" t="s">
        <v>27</v>
      </c>
      <c r="K96" s="152" t="s">
        <v>27</v>
      </c>
      <c r="L96" s="152" t="s">
        <v>27</v>
      </c>
      <c r="M96" s="152" t="s">
        <v>27</v>
      </c>
      <c r="N96" s="152" t="s">
        <v>27</v>
      </c>
      <c r="O96" s="152" t="s">
        <v>27</v>
      </c>
      <c r="P96" s="152" t="s">
        <v>27</v>
      </c>
      <c r="Q96" s="152" t="s">
        <v>27</v>
      </c>
      <c r="R96" s="22"/>
      <c r="S96" s="33">
        <f t="shared" si="1"/>
        <v>2024</v>
      </c>
      <c r="T96" s="153"/>
    </row>
    <row r="97" spans="1:20" x14ac:dyDescent="0.35">
      <c r="A97" s="22" t="s">
        <v>304</v>
      </c>
      <c r="B97" s="23" t="s">
        <v>305</v>
      </c>
      <c r="C97" s="11" t="s">
        <v>306</v>
      </c>
      <c r="D97" s="22" t="s">
        <v>37</v>
      </c>
      <c r="E97" s="11" t="s">
        <v>43</v>
      </c>
      <c r="F97" s="34" t="s">
        <v>44</v>
      </c>
      <c r="G97" s="34">
        <v>2248124</v>
      </c>
      <c r="H97" s="22" t="s">
        <v>38</v>
      </c>
      <c r="I97" s="152" t="s">
        <v>27</v>
      </c>
      <c r="J97" s="152" t="s">
        <v>27</v>
      </c>
      <c r="K97" s="152" t="s">
        <v>27</v>
      </c>
      <c r="L97" s="152" t="s">
        <v>27</v>
      </c>
      <c r="M97" s="152" t="s">
        <v>27</v>
      </c>
      <c r="N97" s="152" t="s">
        <v>27</v>
      </c>
      <c r="O97" s="152" t="s">
        <v>27</v>
      </c>
      <c r="P97" s="152" t="s">
        <v>27</v>
      </c>
      <c r="Q97" s="152" t="s">
        <v>27</v>
      </c>
      <c r="R97" s="22"/>
      <c r="S97" s="33">
        <f t="shared" si="1"/>
        <v>2024</v>
      </c>
      <c r="T97" s="153"/>
    </row>
    <row r="98" spans="1:20" x14ac:dyDescent="0.35">
      <c r="A98" s="22" t="s">
        <v>307</v>
      </c>
      <c r="B98" s="23" t="s">
        <v>308</v>
      </c>
      <c r="C98" s="11" t="s">
        <v>309</v>
      </c>
      <c r="D98" s="22" t="s">
        <v>37</v>
      </c>
      <c r="E98" s="11" t="s">
        <v>24</v>
      </c>
      <c r="F98" s="34" t="s">
        <v>25</v>
      </c>
      <c r="G98" s="34">
        <v>391000</v>
      </c>
      <c r="H98" s="22" t="s">
        <v>38</v>
      </c>
      <c r="I98" s="152" t="s">
        <v>27</v>
      </c>
      <c r="J98" s="152" t="s">
        <v>27</v>
      </c>
      <c r="K98" s="152" t="s">
        <v>27</v>
      </c>
      <c r="L98" s="152" t="s">
        <v>27</v>
      </c>
      <c r="M98" s="152" t="s">
        <v>27</v>
      </c>
      <c r="N98" s="152" t="s">
        <v>27</v>
      </c>
      <c r="O98" s="152" t="s">
        <v>27</v>
      </c>
      <c r="P98" s="152" t="s">
        <v>27</v>
      </c>
      <c r="Q98" s="152" t="s">
        <v>27</v>
      </c>
      <c r="R98" s="22"/>
      <c r="S98" s="33">
        <f t="shared" si="1"/>
        <v>2024</v>
      </c>
      <c r="T98" s="153"/>
    </row>
    <row r="99" spans="1:20" x14ac:dyDescent="0.35">
      <c r="A99" s="22" t="s">
        <v>310</v>
      </c>
      <c r="B99" s="23" t="s">
        <v>311</v>
      </c>
      <c r="C99" s="11" t="s">
        <v>312</v>
      </c>
      <c r="D99" s="22" t="s">
        <v>37</v>
      </c>
      <c r="E99" s="11" t="s">
        <v>24</v>
      </c>
      <c r="F99" s="34" t="s">
        <v>25</v>
      </c>
      <c r="G99" s="34">
        <v>3350000</v>
      </c>
      <c r="H99" s="22" t="s">
        <v>38</v>
      </c>
      <c r="I99" s="152" t="s">
        <v>27</v>
      </c>
      <c r="J99" s="152" t="s">
        <v>27</v>
      </c>
      <c r="K99" s="152" t="s">
        <v>27</v>
      </c>
      <c r="L99" s="152" t="s">
        <v>27</v>
      </c>
      <c r="M99" s="152" t="s">
        <v>27</v>
      </c>
      <c r="N99" s="152" t="s">
        <v>27</v>
      </c>
      <c r="O99" s="152" t="s">
        <v>27</v>
      </c>
      <c r="P99" s="152" t="s">
        <v>27</v>
      </c>
      <c r="Q99" s="152" t="s">
        <v>27</v>
      </c>
      <c r="R99" s="22"/>
      <c r="S99" s="33">
        <f t="shared" si="1"/>
        <v>2024</v>
      </c>
      <c r="T99" s="153"/>
    </row>
    <row r="100" spans="1:20" x14ac:dyDescent="0.35">
      <c r="A100" s="22" t="s">
        <v>313</v>
      </c>
      <c r="B100" s="23" t="s">
        <v>314</v>
      </c>
      <c r="C100" s="11" t="s">
        <v>111</v>
      </c>
      <c r="D100" s="22" t="s">
        <v>48</v>
      </c>
      <c r="E100" s="11" t="s">
        <v>24</v>
      </c>
      <c r="F100" s="34" t="s">
        <v>25</v>
      </c>
      <c r="G100" s="34">
        <v>2505440</v>
      </c>
      <c r="H100" s="22" t="s">
        <v>38</v>
      </c>
      <c r="I100" s="152" t="s">
        <v>27</v>
      </c>
      <c r="J100" s="152" t="s">
        <v>27</v>
      </c>
      <c r="K100" s="152" t="s">
        <v>27</v>
      </c>
      <c r="L100" s="152" t="s">
        <v>27</v>
      </c>
      <c r="M100" s="152" t="s">
        <v>27</v>
      </c>
      <c r="N100" s="152" t="s">
        <v>27</v>
      </c>
      <c r="O100" s="152" t="s">
        <v>27</v>
      </c>
      <c r="P100" s="152" t="s">
        <v>27</v>
      </c>
      <c r="Q100" s="152" t="s">
        <v>27</v>
      </c>
      <c r="R100" s="22"/>
      <c r="S100" s="33">
        <f t="shared" si="1"/>
        <v>2024</v>
      </c>
      <c r="T100" s="153"/>
    </row>
    <row r="101" spans="1:20" x14ac:dyDescent="0.35">
      <c r="A101" s="22" t="s">
        <v>315</v>
      </c>
      <c r="B101" s="23" t="s">
        <v>316</v>
      </c>
      <c r="C101" s="11" t="s">
        <v>276</v>
      </c>
      <c r="D101" s="22" t="s">
        <v>48</v>
      </c>
      <c r="E101" s="11" t="s">
        <v>43</v>
      </c>
      <c r="F101" s="34" t="s">
        <v>44</v>
      </c>
      <c r="G101" s="34">
        <v>1455825</v>
      </c>
      <c r="H101" s="22" t="s">
        <v>38</v>
      </c>
      <c r="I101" s="152" t="s">
        <v>27</v>
      </c>
      <c r="J101" s="152" t="s">
        <v>27</v>
      </c>
      <c r="K101" s="152" t="s">
        <v>27</v>
      </c>
      <c r="L101" s="152" t="s">
        <v>27</v>
      </c>
      <c r="M101" s="152" t="s">
        <v>27</v>
      </c>
      <c r="N101" s="152" t="s">
        <v>27</v>
      </c>
      <c r="O101" s="152" t="s">
        <v>27</v>
      </c>
      <c r="P101" s="152" t="s">
        <v>27</v>
      </c>
      <c r="Q101" s="152" t="s">
        <v>27</v>
      </c>
      <c r="R101" s="22"/>
      <c r="S101" s="33">
        <f t="shared" si="1"/>
        <v>2024</v>
      </c>
      <c r="T101" s="153"/>
    </row>
    <row r="102" spans="1:20" x14ac:dyDescent="0.35">
      <c r="A102" s="22" t="s">
        <v>317</v>
      </c>
      <c r="B102" s="23" t="s">
        <v>318</v>
      </c>
      <c r="C102" s="11" t="s">
        <v>203</v>
      </c>
      <c r="D102" s="22" t="s">
        <v>82</v>
      </c>
      <c r="E102" s="11" t="s">
        <v>43</v>
      </c>
      <c r="F102" s="34" t="s">
        <v>44</v>
      </c>
      <c r="G102" s="34">
        <v>2775000</v>
      </c>
      <c r="H102" s="22" t="s">
        <v>38</v>
      </c>
      <c r="I102" s="152" t="s">
        <v>27</v>
      </c>
      <c r="J102" s="152" t="s">
        <v>27</v>
      </c>
      <c r="K102" s="152" t="s">
        <v>27</v>
      </c>
      <c r="L102" s="152" t="s">
        <v>27</v>
      </c>
      <c r="M102" s="152" t="s">
        <v>27</v>
      </c>
      <c r="N102" s="152" t="s">
        <v>27</v>
      </c>
      <c r="O102" s="152" t="s">
        <v>27</v>
      </c>
      <c r="P102" s="152" t="s">
        <v>27</v>
      </c>
      <c r="Q102" s="152" t="s">
        <v>27</v>
      </c>
      <c r="R102" s="22"/>
      <c r="S102" s="33">
        <f t="shared" si="1"/>
        <v>2024</v>
      </c>
      <c r="T102" s="153"/>
    </row>
    <row r="103" spans="1:20" x14ac:dyDescent="0.35">
      <c r="A103" s="22" t="s">
        <v>319</v>
      </c>
      <c r="B103" s="23" t="s">
        <v>320</v>
      </c>
      <c r="C103" s="11" t="s">
        <v>321</v>
      </c>
      <c r="D103" s="22" t="s">
        <v>42</v>
      </c>
      <c r="E103" s="11" t="s">
        <v>24</v>
      </c>
      <c r="F103" s="34" t="s">
        <v>25</v>
      </c>
      <c r="G103" s="34">
        <v>2497000</v>
      </c>
      <c r="H103" s="22" t="s">
        <v>38</v>
      </c>
      <c r="I103" s="152" t="s">
        <v>27</v>
      </c>
      <c r="J103" s="152" t="s">
        <v>27</v>
      </c>
      <c r="K103" s="152" t="s">
        <v>27</v>
      </c>
      <c r="L103" s="152" t="s">
        <v>27</v>
      </c>
      <c r="M103" s="152" t="s">
        <v>27</v>
      </c>
      <c r="N103" s="152" t="s">
        <v>27</v>
      </c>
      <c r="O103" s="152" t="s">
        <v>27</v>
      </c>
      <c r="P103" s="152" t="s">
        <v>27</v>
      </c>
      <c r="Q103" s="152" t="s">
        <v>27</v>
      </c>
      <c r="R103" s="22"/>
      <c r="S103" s="33">
        <f t="shared" si="1"/>
        <v>2024</v>
      </c>
      <c r="T103" s="153"/>
    </row>
    <row r="104" spans="1:20" x14ac:dyDescent="0.35">
      <c r="A104" s="22" t="s">
        <v>322</v>
      </c>
      <c r="B104" s="23" t="s">
        <v>323</v>
      </c>
      <c r="C104" s="11" t="s">
        <v>324</v>
      </c>
      <c r="D104" s="22" t="s">
        <v>23</v>
      </c>
      <c r="E104" s="11" t="s">
        <v>24</v>
      </c>
      <c r="F104" s="34" t="s">
        <v>25</v>
      </c>
      <c r="G104" s="34">
        <v>324800</v>
      </c>
      <c r="H104" s="22" t="s">
        <v>38</v>
      </c>
      <c r="I104" s="152" t="s">
        <v>27</v>
      </c>
      <c r="J104" s="152" t="s">
        <v>27</v>
      </c>
      <c r="K104" s="152" t="s">
        <v>27</v>
      </c>
      <c r="L104" s="152" t="s">
        <v>27</v>
      </c>
      <c r="M104" s="152" t="s">
        <v>27</v>
      </c>
      <c r="N104" s="152" t="s">
        <v>27</v>
      </c>
      <c r="O104" s="152" t="s">
        <v>27</v>
      </c>
      <c r="P104" s="152" t="s">
        <v>27</v>
      </c>
      <c r="Q104" s="152" t="s">
        <v>27</v>
      </c>
      <c r="R104" s="22"/>
      <c r="S104" s="33">
        <f t="shared" si="1"/>
        <v>2024</v>
      </c>
      <c r="T104" s="153"/>
    </row>
    <row r="105" spans="1:20" x14ac:dyDescent="0.35">
      <c r="A105" s="22" t="s">
        <v>325</v>
      </c>
      <c r="B105" s="23" t="s">
        <v>326</v>
      </c>
      <c r="C105" s="11" t="s">
        <v>327</v>
      </c>
      <c r="D105" s="22" t="s">
        <v>116</v>
      </c>
      <c r="E105" s="11" t="s">
        <v>24</v>
      </c>
      <c r="F105" s="34" t="s">
        <v>25</v>
      </c>
      <c r="G105" s="34">
        <v>420000</v>
      </c>
      <c r="H105" s="22" t="s">
        <v>38</v>
      </c>
      <c r="I105" s="152" t="s">
        <v>27</v>
      </c>
      <c r="J105" s="152" t="s">
        <v>27</v>
      </c>
      <c r="K105" s="152" t="s">
        <v>27</v>
      </c>
      <c r="L105" s="152" t="s">
        <v>27</v>
      </c>
      <c r="M105" s="152" t="s">
        <v>27</v>
      </c>
      <c r="N105" s="152" t="s">
        <v>27</v>
      </c>
      <c r="O105" s="152" t="s">
        <v>27</v>
      </c>
      <c r="P105" s="152" t="s">
        <v>27</v>
      </c>
      <c r="Q105" s="186" t="s">
        <v>27</v>
      </c>
      <c r="R105" s="187"/>
      <c r="S105" s="33">
        <f t="shared" si="1"/>
        <v>2024</v>
      </c>
      <c r="T105" s="153"/>
    </row>
    <row r="106" spans="1:20" ht="15.5" x14ac:dyDescent="0.35">
      <c r="A106" s="22" t="s">
        <v>328</v>
      </c>
      <c r="B106" s="23" t="s">
        <v>329</v>
      </c>
      <c r="C106" s="11" t="s">
        <v>41</v>
      </c>
      <c r="D106" s="22" t="s">
        <v>48</v>
      </c>
      <c r="E106" s="11" t="s">
        <v>43</v>
      </c>
      <c r="F106" s="34" t="s">
        <v>44</v>
      </c>
      <c r="G106" s="34">
        <v>780000</v>
      </c>
      <c r="H106" s="22" t="s">
        <v>26</v>
      </c>
      <c r="I106" s="152" t="s">
        <v>27</v>
      </c>
      <c r="J106" s="155" t="s">
        <v>28</v>
      </c>
      <c r="K106" s="152"/>
      <c r="L106" s="152"/>
      <c r="M106" s="152"/>
      <c r="N106" s="152"/>
      <c r="O106" s="152"/>
      <c r="P106" s="181"/>
      <c r="Q106" s="152"/>
      <c r="R106" s="22" t="s">
        <v>266</v>
      </c>
      <c r="S106" s="184">
        <f t="shared" si="1"/>
        <v>2024</v>
      </c>
      <c r="T106" s="153">
        <v>45546</v>
      </c>
    </row>
    <row r="107" spans="1:20" x14ac:dyDescent="0.35">
      <c r="A107" s="22" t="s">
        <v>330</v>
      </c>
      <c r="B107" s="23" t="s">
        <v>331</v>
      </c>
      <c r="C107" s="11" t="s">
        <v>276</v>
      </c>
      <c r="D107" s="22" t="s">
        <v>48</v>
      </c>
      <c r="E107" s="11" t="s">
        <v>43</v>
      </c>
      <c r="F107" s="34" t="s">
        <v>44</v>
      </c>
      <c r="G107" s="34">
        <v>1505263.2</v>
      </c>
      <c r="H107" s="22" t="s">
        <v>38</v>
      </c>
      <c r="I107" s="152" t="s">
        <v>27</v>
      </c>
      <c r="J107" s="152" t="s">
        <v>27</v>
      </c>
      <c r="K107" s="152" t="s">
        <v>27</v>
      </c>
      <c r="L107" s="152" t="s">
        <v>27</v>
      </c>
      <c r="M107" s="152" t="s">
        <v>27</v>
      </c>
      <c r="N107" s="152" t="s">
        <v>27</v>
      </c>
      <c r="O107" s="152" t="s">
        <v>27</v>
      </c>
      <c r="P107" s="152" t="s">
        <v>27</v>
      </c>
      <c r="Q107" s="190" t="s">
        <v>27</v>
      </c>
      <c r="R107" s="191"/>
      <c r="S107" s="33">
        <f t="shared" si="1"/>
        <v>2024</v>
      </c>
      <c r="T107" s="153"/>
    </row>
    <row r="108" spans="1:20" x14ac:dyDescent="0.35">
      <c r="A108" s="22" t="s">
        <v>332</v>
      </c>
      <c r="B108" s="23" t="s">
        <v>333</v>
      </c>
      <c r="C108" s="11" t="s">
        <v>334</v>
      </c>
      <c r="D108" s="22" t="s">
        <v>48</v>
      </c>
      <c r="E108" s="11" t="s">
        <v>24</v>
      </c>
      <c r="F108" s="34" t="s">
        <v>25</v>
      </c>
      <c r="G108" s="34">
        <v>3717102</v>
      </c>
      <c r="H108" s="22" t="s">
        <v>38</v>
      </c>
      <c r="I108" s="152" t="s">
        <v>27</v>
      </c>
      <c r="J108" s="152" t="s">
        <v>27</v>
      </c>
      <c r="K108" s="152" t="s">
        <v>27</v>
      </c>
      <c r="L108" s="152" t="s">
        <v>27</v>
      </c>
      <c r="M108" s="152" t="s">
        <v>27</v>
      </c>
      <c r="N108" s="152" t="s">
        <v>27</v>
      </c>
      <c r="O108" s="152" t="s">
        <v>27</v>
      </c>
      <c r="P108" s="152" t="s">
        <v>27</v>
      </c>
      <c r="Q108" s="152" t="s">
        <v>27</v>
      </c>
      <c r="R108" s="22"/>
      <c r="S108" s="33">
        <f t="shared" si="1"/>
        <v>2024</v>
      </c>
      <c r="T108" s="153"/>
    </row>
    <row r="109" spans="1:20" x14ac:dyDescent="0.35">
      <c r="A109" s="22" t="s">
        <v>335</v>
      </c>
      <c r="B109" s="23" t="s">
        <v>336</v>
      </c>
      <c r="C109" s="11" t="s">
        <v>243</v>
      </c>
      <c r="D109" s="22" t="s">
        <v>48</v>
      </c>
      <c r="E109" s="11" t="s">
        <v>43</v>
      </c>
      <c r="F109" s="34" t="s">
        <v>25</v>
      </c>
      <c r="G109" s="34">
        <v>885000</v>
      </c>
      <c r="H109" s="22" t="s">
        <v>38</v>
      </c>
      <c r="I109" s="152" t="s">
        <v>27</v>
      </c>
      <c r="J109" s="152" t="s">
        <v>27</v>
      </c>
      <c r="K109" s="152" t="s">
        <v>27</v>
      </c>
      <c r="L109" s="152" t="s">
        <v>27</v>
      </c>
      <c r="M109" s="152" t="s">
        <v>27</v>
      </c>
      <c r="N109" s="152" t="s">
        <v>27</v>
      </c>
      <c r="O109" s="152" t="s">
        <v>27</v>
      </c>
      <c r="P109" s="152" t="s">
        <v>27</v>
      </c>
      <c r="Q109" s="152" t="s">
        <v>27</v>
      </c>
      <c r="R109" s="22"/>
      <c r="S109" s="33">
        <f t="shared" si="1"/>
        <v>2024</v>
      </c>
      <c r="T109" s="153"/>
    </row>
    <row r="110" spans="1:20" x14ac:dyDescent="0.35">
      <c r="A110" s="22" t="s">
        <v>337</v>
      </c>
      <c r="B110" s="23" t="s">
        <v>338</v>
      </c>
      <c r="C110" s="11" t="s">
        <v>41</v>
      </c>
      <c r="D110" s="22" t="s">
        <v>37</v>
      </c>
      <c r="E110" s="11" t="s">
        <v>43</v>
      </c>
      <c r="F110" s="34" t="s">
        <v>44</v>
      </c>
      <c r="G110" s="34">
        <v>150000</v>
      </c>
      <c r="H110" s="22" t="s">
        <v>38</v>
      </c>
      <c r="I110" s="152" t="s">
        <v>27</v>
      </c>
      <c r="J110" s="152" t="s">
        <v>27</v>
      </c>
      <c r="K110" s="152" t="s">
        <v>27</v>
      </c>
      <c r="L110" s="152" t="s">
        <v>27</v>
      </c>
      <c r="M110" s="152" t="s">
        <v>27</v>
      </c>
      <c r="N110" s="152" t="s">
        <v>27</v>
      </c>
      <c r="O110" s="152" t="s">
        <v>27</v>
      </c>
      <c r="P110" s="152" t="s">
        <v>27</v>
      </c>
      <c r="Q110" s="152" t="s">
        <v>27</v>
      </c>
      <c r="R110" s="22"/>
      <c r="S110" s="33">
        <f t="shared" si="1"/>
        <v>2024</v>
      </c>
      <c r="T110" s="153"/>
    </row>
    <row r="111" spans="1:20" x14ac:dyDescent="0.35">
      <c r="A111" s="22" t="s">
        <v>339</v>
      </c>
      <c r="B111" s="23" t="s">
        <v>340</v>
      </c>
      <c r="C111" s="11" t="s">
        <v>203</v>
      </c>
      <c r="D111" s="22" t="s">
        <v>48</v>
      </c>
      <c r="E111" s="11" t="s">
        <v>24</v>
      </c>
      <c r="F111" s="34" t="s">
        <v>25</v>
      </c>
      <c r="G111" s="34">
        <v>3052000</v>
      </c>
      <c r="H111" s="22" t="s">
        <v>38</v>
      </c>
      <c r="I111" s="152" t="s">
        <v>27</v>
      </c>
      <c r="J111" s="152" t="s">
        <v>27</v>
      </c>
      <c r="K111" s="152" t="s">
        <v>27</v>
      </c>
      <c r="L111" s="152" t="s">
        <v>27</v>
      </c>
      <c r="M111" s="152" t="s">
        <v>27</v>
      </c>
      <c r="N111" s="152" t="s">
        <v>27</v>
      </c>
      <c r="O111" s="152" t="s">
        <v>27</v>
      </c>
      <c r="P111" s="152" t="s">
        <v>27</v>
      </c>
      <c r="Q111" s="152" t="s">
        <v>27</v>
      </c>
      <c r="R111" s="22"/>
      <c r="S111" s="33">
        <f t="shared" si="1"/>
        <v>2024</v>
      </c>
      <c r="T111" s="153"/>
    </row>
    <row r="112" spans="1:20" x14ac:dyDescent="0.35">
      <c r="A112" s="22" t="s">
        <v>341</v>
      </c>
      <c r="B112" s="23" t="s">
        <v>342</v>
      </c>
      <c r="C112" s="11" t="s">
        <v>152</v>
      </c>
      <c r="D112" s="22" t="s">
        <v>37</v>
      </c>
      <c r="E112" s="11" t="s">
        <v>24</v>
      </c>
      <c r="F112" s="34" t="s">
        <v>25</v>
      </c>
      <c r="G112" s="34">
        <v>10579351</v>
      </c>
      <c r="H112" s="22" t="s">
        <v>38</v>
      </c>
      <c r="I112" s="152" t="s">
        <v>27</v>
      </c>
      <c r="J112" s="152" t="s">
        <v>27</v>
      </c>
      <c r="K112" s="152" t="s">
        <v>27</v>
      </c>
      <c r="L112" s="152" t="s">
        <v>27</v>
      </c>
      <c r="M112" s="152" t="s">
        <v>27</v>
      </c>
      <c r="N112" s="152" t="s">
        <v>27</v>
      </c>
      <c r="O112" s="152" t="s">
        <v>27</v>
      </c>
      <c r="P112" s="152" t="s">
        <v>27</v>
      </c>
      <c r="Q112" s="186" t="s">
        <v>27</v>
      </c>
      <c r="R112" s="187"/>
      <c r="S112" s="33">
        <f t="shared" si="1"/>
        <v>2024</v>
      </c>
      <c r="T112" s="153"/>
    </row>
    <row r="113" spans="1:20" ht="15.5" x14ac:dyDescent="0.35">
      <c r="A113" s="22" t="s">
        <v>343</v>
      </c>
      <c r="B113" s="23" t="s">
        <v>344</v>
      </c>
      <c r="C113" s="11" t="s">
        <v>41</v>
      </c>
      <c r="D113" s="22" t="s">
        <v>66</v>
      </c>
      <c r="E113" s="11" t="s">
        <v>43</v>
      </c>
      <c r="F113" s="34" t="s">
        <v>44</v>
      </c>
      <c r="G113" s="34">
        <v>36790000</v>
      </c>
      <c r="H113" s="22" t="s">
        <v>26</v>
      </c>
      <c r="I113" s="152" t="s">
        <v>27</v>
      </c>
      <c r="J113" s="155" t="s">
        <v>28</v>
      </c>
      <c r="K113" s="152"/>
      <c r="L113" s="152"/>
      <c r="M113" s="152"/>
      <c r="N113" s="152"/>
      <c r="O113" s="152"/>
      <c r="P113" s="181"/>
      <c r="Q113" s="152"/>
      <c r="R113" s="22" t="s">
        <v>266</v>
      </c>
      <c r="S113" s="184">
        <f t="shared" si="1"/>
        <v>2024</v>
      </c>
      <c r="T113" s="153">
        <v>45497</v>
      </c>
    </row>
    <row r="114" spans="1:20" x14ac:dyDescent="0.35">
      <c r="A114" s="22" t="s">
        <v>345</v>
      </c>
      <c r="B114" s="23" t="s">
        <v>346</v>
      </c>
      <c r="C114" s="11" t="s">
        <v>276</v>
      </c>
      <c r="D114" s="22" t="s">
        <v>61</v>
      </c>
      <c r="E114" s="11" t="s">
        <v>43</v>
      </c>
      <c r="F114" s="34" t="s">
        <v>44</v>
      </c>
      <c r="G114" s="34">
        <v>425000</v>
      </c>
      <c r="H114" s="22" t="s">
        <v>38</v>
      </c>
      <c r="I114" s="152" t="s">
        <v>27</v>
      </c>
      <c r="J114" s="152" t="s">
        <v>27</v>
      </c>
      <c r="K114" s="152" t="s">
        <v>27</v>
      </c>
      <c r="L114" s="152" t="s">
        <v>27</v>
      </c>
      <c r="M114" s="152" t="s">
        <v>27</v>
      </c>
      <c r="N114" s="152" t="s">
        <v>27</v>
      </c>
      <c r="O114" s="152" t="s">
        <v>27</v>
      </c>
      <c r="P114" s="152" t="s">
        <v>27</v>
      </c>
      <c r="Q114" s="192" t="s">
        <v>27</v>
      </c>
      <c r="R114" s="193"/>
      <c r="S114" s="33">
        <f t="shared" si="1"/>
        <v>2024</v>
      </c>
      <c r="T114" s="153"/>
    </row>
    <row r="115" spans="1:20" ht="15.5" x14ac:dyDescent="0.35">
      <c r="A115" s="22" t="s">
        <v>347</v>
      </c>
      <c r="B115" s="23" t="s">
        <v>348</v>
      </c>
      <c r="C115" s="11" t="s">
        <v>41</v>
      </c>
      <c r="D115" s="22" t="s">
        <v>48</v>
      </c>
      <c r="E115" s="11" t="s">
        <v>43</v>
      </c>
      <c r="F115" s="34" t="s">
        <v>44</v>
      </c>
      <c r="G115" s="34">
        <v>1270000</v>
      </c>
      <c r="H115" s="22" t="s">
        <v>26</v>
      </c>
      <c r="I115" s="152" t="s">
        <v>27</v>
      </c>
      <c r="J115" s="155" t="s">
        <v>28</v>
      </c>
      <c r="K115" s="152"/>
      <c r="L115" s="152"/>
      <c r="M115" s="152"/>
      <c r="N115" s="152"/>
      <c r="O115" s="152"/>
      <c r="P115" s="181"/>
      <c r="Q115" s="152"/>
      <c r="R115" s="22" t="s">
        <v>266</v>
      </c>
      <c r="S115" s="184">
        <f t="shared" si="1"/>
        <v>2024</v>
      </c>
      <c r="T115" s="153">
        <v>45509</v>
      </c>
    </row>
    <row r="116" spans="1:20" x14ac:dyDescent="0.35">
      <c r="A116" s="22" t="s">
        <v>349</v>
      </c>
      <c r="B116" s="23" t="s">
        <v>350</v>
      </c>
      <c r="C116" s="11" t="s">
        <v>111</v>
      </c>
      <c r="D116" s="22" t="s">
        <v>23</v>
      </c>
      <c r="E116" s="11" t="s">
        <v>24</v>
      </c>
      <c r="F116" s="34" t="s">
        <v>25</v>
      </c>
      <c r="G116" s="34">
        <v>7176500</v>
      </c>
      <c r="H116" s="22" t="s">
        <v>38</v>
      </c>
      <c r="I116" s="152" t="s">
        <v>27</v>
      </c>
      <c r="J116" s="152" t="s">
        <v>27</v>
      </c>
      <c r="K116" s="152" t="s">
        <v>27</v>
      </c>
      <c r="L116" s="152" t="s">
        <v>27</v>
      </c>
      <c r="M116" s="152" t="s">
        <v>27</v>
      </c>
      <c r="N116" s="152" t="s">
        <v>27</v>
      </c>
      <c r="O116" s="152" t="s">
        <v>27</v>
      </c>
      <c r="P116" s="152" t="s">
        <v>27</v>
      </c>
      <c r="Q116" s="190" t="s">
        <v>27</v>
      </c>
      <c r="R116" s="191"/>
      <c r="S116" s="33">
        <f t="shared" si="1"/>
        <v>2024</v>
      </c>
      <c r="T116" s="153"/>
    </row>
    <row r="117" spans="1:20" x14ac:dyDescent="0.35">
      <c r="A117" s="22" t="s">
        <v>351</v>
      </c>
      <c r="B117" s="23" t="s">
        <v>352</v>
      </c>
      <c r="C117" s="11" t="s">
        <v>41</v>
      </c>
      <c r="D117" s="22" t="s">
        <v>61</v>
      </c>
      <c r="E117" s="11" t="s">
        <v>43</v>
      </c>
      <c r="F117" s="34" t="s">
        <v>44</v>
      </c>
      <c r="G117" s="34">
        <v>47372459</v>
      </c>
      <c r="H117" s="22" t="s">
        <v>38</v>
      </c>
      <c r="I117" s="152" t="s">
        <v>27</v>
      </c>
      <c r="J117" s="152" t="s">
        <v>27</v>
      </c>
      <c r="K117" s="152" t="s">
        <v>27</v>
      </c>
      <c r="L117" s="152" t="s">
        <v>27</v>
      </c>
      <c r="M117" s="152" t="s">
        <v>27</v>
      </c>
      <c r="N117" s="152" t="s">
        <v>27</v>
      </c>
      <c r="O117" s="152" t="s">
        <v>27</v>
      </c>
      <c r="P117" s="152" t="s">
        <v>27</v>
      </c>
      <c r="Q117" s="152" t="s">
        <v>27</v>
      </c>
      <c r="R117" s="152"/>
      <c r="S117" s="33">
        <f t="shared" si="1"/>
        <v>2024</v>
      </c>
      <c r="T117" s="153"/>
    </row>
    <row r="118" spans="1:20" x14ac:dyDescent="0.35">
      <c r="A118" s="22" t="s">
        <v>353</v>
      </c>
      <c r="B118" s="23" t="s">
        <v>354</v>
      </c>
      <c r="C118" s="11" t="s">
        <v>355</v>
      </c>
      <c r="D118" s="22" t="s">
        <v>61</v>
      </c>
      <c r="E118" s="33" t="s">
        <v>43</v>
      </c>
      <c r="F118" s="34" t="s">
        <v>44</v>
      </c>
      <c r="G118" s="34">
        <v>460000</v>
      </c>
      <c r="H118" s="22" t="s">
        <v>38</v>
      </c>
      <c r="I118" s="152" t="s">
        <v>27</v>
      </c>
      <c r="J118" s="152" t="s">
        <v>27</v>
      </c>
      <c r="K118" s="152" t="s">
        <v>27</v>
      </c>
      <c r="L118" s="152" t="s">
        <v>27</v>
      </c>
      <c r="M118" s="152" t="s">
        <v>27</v>
      </c>
      <c r="N118" s="152" t="s">
        <v>27</v>
      </c>
      <c r="O118" s="152" t="s">
        <v>27</v>
      </c>
      <c r="P118" s="152" t="s">
        <v>27</v>
      </c>
      <c r="Q118" s="152" t="s">
        <v>27</v>
      </c>
      <c r="R118" s="22"/>
      <c r="S118" s="33">
        <f t="shared" si="1"/>
        <v>2024</v>
      </c>
      <c r="T118" s="153"/>
    </row>
    <row r="119" spans="1:20" x14ac:dyDescent="0.35">
      <c r="A119" s="22" t="s">
        <v>356</v>
      </c>
      <c r="B119" s="23" t="s">
        <v>357</v>
      </c>
      <c r="C119" s="11" t="s">
        <v>358</v>
      </c>
      <c r="D119" s="22" t="s">
        <v>37</v>
      </c>
      <c r="E119" s="11" t="s">
        <v>24</v>
      </c>
      <c r="F119" s="34" t="s">
        <v>25</v>
      </c>
      <c r="G119" s="34">
        <v>420000</v>
      </c>
      <c r="H119" s="22" t="s">
        <v>38</v>
      </c>
      <c r="I119" s="152" t="s">
        <v>27</v>
      </c>
      <c r="J119" s="152" t="s">
        <v>27</v>
      </c>
      <c r="K119" s="152" t="s">
        <v>27</v>
      </c>
      <c r="L119" s="152" t="s">
        <v>27</v>
      </c>
      <c r="M119" s="152" t="s">
        <v>27</v>
      </c>
      <c r="N119" s="152" t="s">
        <v>27</v>
      </c>
      <c r="O119" s="152" t="s">
        <v>27</v>
      </c>
      <c r="P119" s="152" t="s">
        <v>27</v>
      </c>
      <c r="Q119" s="152" t="s">
        <v>27</v>
      </c>
      <c r="R119" s="22"/>
      <c r="S119" s="33">
        <f t="shared" si="1"/>
        <v>2024</v>
      </c>
      <c r="T119" s="153"/>
    </row>
    <row r="120" spans="1:20" x14ac:dyDescent="0.35">
      <c r="A120" s="22" t="s">
        <v>359</v>
      </c>
      <c r="B120" s="23" t="s">
        <v>360</v>
      </c>
      <c r="C120" s="11" t="s">
        <v>361</v>
      </c>
      <c r="D120" s="22" t="s">
        <v>37</v>
      </c>
      <c r="E120" s="11" t="s">
        <v>24</v>
      </c>
      <c r="F120" s="34" t="s">
        <v>25</v>
      </c>
      <c r="G120" s="34">
        <v>738000</v>
      </c>
      <c r="H120" s="22" t="s">
        <v>38</v>
      </c>
      <c r="I120" s="152" t="s">
        <v>27</v>
      </c>
      <c r="J120" s="152" t="s">
        <v>27</v>
      </c>
      <c r="K120" s="152" t="s">
        <v>27</v>
      </c>
      <c r="L120" s="152" t="s">
        <v>27</v>
      </c>
      <c r="M120" s="152" t="s">
        <v>27</v>
      </c>
      <c r="N120" s="152" t="s">
        <v>27</v>
      </c>
      <c r="O120" s="152" t="s">
        <v>27</v>
      </c>
      <c r="P120" s="152" t="s">
        <v>27</v>
      </c>
      <c r="Q120" s="152" t="s">
        <v>27</v>
      </c>
      <c r="R120" s="22"/>
      <c r="S120" s="33">
        <f t="shared" si="1"/>
        <v>2024</v>
      </c>
      <c r="T120" s="153"/>
    </row>
    <row r="121" spans="1:20" x14ac:dyDescent="0.35">
      <c r="A121" s="22" t="s">
        <v>362</v>
      </c>
      <c r="B121" s="23" t="s">
        <v>363</v>
      </c>
      <c r="C121" s="11" t="s">
        <v>276</v>
      </c>
      <c r="D121" s="22" t="s">
        <v>48</v>
      </c>
      <c r="E121" s="11" t="s">
        <v>43</v>
      </c>
      <c r="F121" s="34" t="s">
        <v>44</v>
      </c>
      <c r="G121" s="34">
        <v>3078600</v>
      </c>
      <c r="H121" s="22" t="s">
        <v>38</v>
      </c>
      <c r="I121" s="152" t="s">
        <v>27</v>
      </c>
      <c r="J121" s="152" t="s">
        <v>27</v>
      </c>
      <c r="K121" s="152" t="s">
        <v>27</v>
      </c>
      <c r="L121" s="152" t="s">
        <v>27</v>
      </c>
      <c r="M121" s="152" t="s">
        <v>27</v>
      </c>
      <c r="N121" s="152" t="s">
        <v>27</v>
      </c>
      <c r="O121" s="152" t="s">
        <v>27</v>
      </c>
      <c r="P121" s="152" t="s">
        <v>27</v>
      </c>
      <c r="Q121" s="152" t="s">
        <v>27</v>
      </c>
      <c r="R121" s="22"/>
      <c r="S121" s="33">
        <f t="shared" si="1"/>
        <v>2024</v>
      </c>
      <c r="T121" s="153"/>
    </row>
    <row r="122" spans="1:20" x14ac:dyDescent="0.35">
      <c r="A122" s="22" t="s">
        <v>364</v>
      </c>
      <c r="B122" s="23" t="s">
        <v>365</v>
      </c>
      <c r="C122" s="11" t="s">
        <v>366</v>
      </c>
      <c r="D122" s="22" t="s">
        <v>37</v>
      </c>
      <c r="E122" s="11" t="s">
        <v>24</v>
      </c>
      <c r="F122" s="34" t="s">
        <v>25</v>
      </c>
      <c r="G122" s="34">
        <v>1310000</v>
      </c>
      <c r="H122" s="22" t="s">
        <v>38</v>
      </c>
      <c r="I122" s="152" t="s">
        <v>27</v>
      </c>
      <c r="J122" s="152" t="s">
        <v>27</v>
      </c>
      <c r="K122" s="152" t="s">
        <v>27</v>
      </c>
      <c r="L122" s="152" t="s">
        <v>27</v>
      </c>
      <c r="M122" s="152" t="s">
        <v>27</v>
      </c>
      <c r="N122" s="152" t="s">
        <v>27</v>
      </c>
      <c r="O122" s="152" t="s">
        <v>27</v>
      </c>
      <c r="P122" s="152" t="s">
        <v>27</v>
      </c>
      <c r="Q122" s="152" t="s">
        <v>27</v>
      </c>
      <c r="R122" s="22"/>
      <c r="S122" s="33">
        <f t="shared" si="1"/>
        <v>2024</v>
      </c>
      <c r="T122" s="153"/>
    </row>
    <row r="123" spans="1:20" x14ac:dyDescent="0.35">
      <c r="A123" s="22" t="s">
        <v>367</v>
      </c>
      <c r="B123" s="23" t="s">
        <v>368</v>
      </c>
      <c r="C123" s="11" t="s">
        <v>369</v>
      </c>
      <c r="D123" s="22" t="s">
        <v>42</v>
      </c>
      <c r="E123" s="11" t="s">
        <v>43</v>
      </c>
      <c r="F123" s="34" t="s">
        <v>44</v>
      </c>
      <c r="G123" s="34">
        <v>300000</v>
      </c>
      <c r="H123" s="22" t="s">
        <v>38</v>
      </c>
      <c r="I123" s="152" t="s">
        <v>27</v>
      </c>
      <c r="J123" s="152" t="s">
        <v>27</v>
      </c>
      <c r="K123" s="152" t="s">
        <v>27</v>
      </c>
      <c r="L123" s="152" t="s">
        <v>27</v>
      </c>
      <c r="M123" s="152" t="s">
        <v>27</v>
      </c>
      <c r="N123" s="152" t="s">
        <v>27</v>
      </c>
      <c r="O123" s="152" t="s">
        <v>27</v>
      </c>
      <c r="P123" s="152" t="s">
        <v>27</v>
      </c>
      <c r="Q123" s="152" t="s">
        <v>27</v>
      </c>
      <c r="R123" s="22"/>
      <c r="S123" s="33">
        <f t="shared" si="1"/>
        <v>2024</v>
      </c>
      <c r="T123" s="153"/>
    </row>
    <row r="124" spans="1:20" x14ac:dyDescent="0.35">
      <c r="A124" s="22" t="s">
        <v>370</v>
      </c>
      <c r="B124" s="23" t="s">
        <v>371</v>
      </c>
      <c r="C124" s="11" t="s">
        <v>372</v>
      </c>
      <c r="D124" s="22" t="s">
        <v>23</v>
      </c>
      <c r="E124" s="11" t="s">
        <v>24</v>
      </c>
      <c r="F124" s="34" t="s">
        <v>25</v>
      </c>
      <c r="G124" s="34">
        <v>350000</v>
      </c>
      <c r="H124" s="22" t="s">
        <v>38</v>
      </c>
      <c r="I124" s="152" t="s">
        <v>27</v>
      </c>
      <c r="J124" s="152" t="s">
        <v>27</v>
      </c>
      <c r="K124" s="152" t="s">
        <v>27</v>
      </c>
      <c r="L124" s="152" t="s">
        <v>27</v>
      </c>
      <c r="M124" s="152" t="s">
        <v>27</v>
      </c>
      <c r="N124" s="152" t="s">
        <v>27</v>
      </c>
      <c r="O124" s="152" t="s">
        <v>27</v>
      </c>
      <c r="P124" s="152" t="s">
        <v>27</v>
      </c>
      <c r="Q124" s="152" t="s">
        <v>27</v>
      </c>
      <c r="R124" s="22"/>
      <c r="S124" s="33">
        <f t="shared" si="1"/>
        <v>2024</v>
      </c>
      <c r="T124" s="153"/>
    </row>
    <row r="125" spans="1:20" x14ac:dyDescent="0.35">
      <c r="A125" s="22" t="s">
        <v>373</v>
      </c>
      <c r="B125" s="23" t="s">
        <v>374</v>
      </c>
      <c r="C125" s="11" t="s">
        <v>375</v>
      </c>
      <c r="D125" s="22" t="s">
        <v>116</v>
      </c>
      <c r="E125" s="11" t="s">
        <v>24</v>
      </c>
      <c r="F125" s="34" t="s">
        <v>25</v>
      </c>
      <c r="G125" s="34">
        <v>2468000</v>
      </c>
      <c r="H125" s="22" t="s">
        <v>38</v>
      </c>
      <c r="I125" s="152" t="s">
        <v>27</v>
      </c>
      <c r="J125" s="152" t="s">
        <v>27</v>
      </c>
      <c r="K125" s="152" t="s">
        <v>27</v>
      </c>
      <c r="L125" s="152" t="s">
        <v>27</v>
      </c>
      <c r="M125" s="152" t="s">
        <v>27</v>
      </c>
      <c r="N125" s="152" t="s">
        <v>27</v>
      </c>
      <c r="O125" s="152" t="s">
        <v>27</v>
      </c>
      <c r="P125" s="152" t="s">
        <v>27</v>
      </c>
      <c r="Q125" s="152" t="s">
        <v>27</v>
      </c>
      <c r="R125" s="22"/>
      <c r="S125" s="33">
        <f t="shared" si="1"/>
        <v>2024</v>
      </c>
      <c r="T125" s="153"/>
    </row>
    <row r="126" spans="1:20" x14ac:dyDescent="0.35">
      <c r="A126" s="22" t="s">
        <v>376</v>
      </c>
      <c r="B126" s="23" t="s">
        <v>377</v>
      </c>
      <c r="C126" s="11" t="s">
        <v>378</v>
      </c>
      <c r="D126" s="22" t="s">
        <v>66</v>
      </c>
      <c r="E126" s="11" t="s">
        <v>24</v>
      </c>
      <c r="F126" s="34" t="s">
        <v>25</v>
      </c>
      <c r="G126" s="34">
        <v>1406000</v>
      </c>
      <c r="H126" s="22" t="s">
        <v>38</v>
      </c>
      <c r="I126" s="152" t="s">
        <v>27</v>
      </c>
      <c r="J126" s="152" t="s">
        <v>27</v>
      </c>
      <c r="K126" s="152" t="s">
        <v>27</v>
      </c>
      <c r="L126" s="152" t="s">
        <v>27</v>
      </c>
      <c r="M126" s="152" t="s">
        <v>27</v>
      </c>
      <c r="N126" s="152" t="s">
        <v>27</v>
      </c>
      <c r="O126" s="152" t="s">
        <v>27</v>
      </c>
      <c r="P126" s="152" t="s">
        <v>27</v>
      </c>
      <c r="Q126" s="152" t="s">
        <v>27</v>
      </c>
      <c r="R126" s="22"/>
      <c r="S126" s="33">
        <f t="shared" si="1"/>
        <v>2024</v>
      </c>
      <c r="T126" s="153"/>
    </row>
    <row r="127" spans="1:20" x14ac:dyDescent="0.35">
      <c r="A127" s="22" t="s">
        <v>379</v>
      </c>
      <c r="B127" s="23" t="s">
        <v>380</v>
      </c>
      <c r="C127" s="11" t="s">
        <v>381</v>
      </c>
      <c r="D127" s="22" t="s">
        <v>23</v>
      </c>
      <c r="E127" s="11" t="s">
        <v>24</v>
      </c>
      <c r="F127" s="34" t="s">
        <v>25</v>
      </c>
      <c r="G127" s="34">
        <v>230000</v>
      </c>
      <c r="H127" s="22" t="s">
        <v>38</v>
      </c>
      <c r="I127" s="152" t="s">
        <v>27</v>
      </c>
      <c r="J127" s="152" t="s">
        <v>27</v>
      </c>
      <c r="K127" s="152" t="s">
        <v>27</v>
      </c>
      <c r="L127" s="152" t="s">
        <v>27</v>
      </c>
      <c r="M127" s="152" t="s">
        <v>27</v>
      </c>
      <c r="N127" s="152" t="s">
        <v>27</v>
      </c>
      <c r="O127" s="152" t="s">
        <v>27</v>
      </c>
      <c r="P127" s="152" t="s">
        <v>27</v>
      </c>
      <c r="Q127" s="152" t="s">
        <v>27</v>
      </c>
      <c r="R127" s="22"/>
      <c r="S127" s="33">
        <f t="shared" si="1"/>
        <v>2024</v>
      </c>
      <c r="T127" s="153"/>
    </row>
    <row r="128" spans="1:20" x14ac:dyDescent="0.35">
      <c r="A128" s="22" t="s">
        <v>382</v>
      </c>
      <c r="B128" s="23" t="s">
        <v>383</v>
      </c>
      <c r="C128" s="11" t="s">
        <v>384</v>
      </c>
      <c r="D128" s="22" t="s">
        <v>61</v>
      </c>
      <c r="E128" s="11" t="s">
        <v>43</v>
      </c>
      <c r="F128" s="34" t="s">
        <v>44</v>
      </c>
      <c r="G128" s="34">
        <v>2000000</v>
      </c>
      <c r="H128" s="22" t="s">
        <v>38</v>
      </c>
      <c r="I128" s="152" t="s">
        <v>27</v>
      </c>
      <c r="J128" s="152" t="s">
        <v>27</v>
      </c>
      <c r="K128" s="152" t="s">
        <v>27</v>
      </c>
      <c r="L128" s="152" t="s">
        <v>27</v>
      </c>
      <c r="M128" s="152" t="s">
        <v>27</v>
      </c>
      <c r="N128" s="152" t="s">
        <v>27</v>
      </c>
      <c r="O128" s="152" t="s">
        <v>27</v>
      </c>
      <c r="P128" s="152" t="s">
        <v>27</v>
      </c>
      <c r="Q128" s="152" t="s">
        <v>27</v>
      </c>
      <c r="R128" s="22"/>
      <c r="S128" s="33">
        <f t="shared" si="1"/>
        <v>2024</v>
      </c>
      <c r="T128" s="153"/>
    </row>
    <row r="129" spans="1:20" x14ac:dyDescent="0.35">
      <c r="A129" s="22" t="s">
        <v>385</v>
      </c>
      <c r="B129" s="23" t="s">
        <v>386</v>
      </c>
      <c r="C129" s="11" t="s">
        <v>164</v>
      </c>
      <c r="D129" s="22" t="s">
        <v>37</v>
      </c>
      <c r="E129" s="11" t="s">
        <v>24</v>
      </c>
      <c r="F129" s="34" t="s">
        <v>25</v>
      </c>
      <c r="G129" s="34">
        <v>2300000</v>
      </c>
      <c r="H129" s="22" t="s">
        <v>38</v>
      </c>
      <c r="I129" s="152" t="s">
        <v>27</v>
      </c>
      <c r="J129" s="152" t="s">
        <v>27</v>
      </c>
      <c r="K129" s="152" t="s">
        <v>27</v>
      </c>
      <c r="L129" s="152" t="s">
        <v>27</v>
      </c>
      <c r="M129" s="152" t="s">
        <v>27</v>
      </c>
      <c r="N129" s="152" t="s">
        <v>27</v>
      </c>
      <c r="O129" s="152" t="s">
        <v>27</v>
      </c>
      <c r="P129" s="152" t="s">
        <v>27</v>
      </c>
      <c r="Q129" s="152" t="s">
        <v>27</v>
      </c>
      <c r="R129" s="22"/>
      <c r="S129" s="33">
        <f t="shared" si="1"/>
        <v>2024</v>
      </c>
      <c r="T129" s="153"/>
    </row>
    <row r="130" spans="1:20" x14ac:dyDescent="0.35">
      <c r="A130" s="22" t="s">
        <v>387</v>
      </c>
      <c r="B130" s="23" t="s">
        <v>388</v>
      </c>
      <c r="C130" s="11" t="s">
        <v>389</v>
      </c>
      <c r="D130" s="22" t="s">
        <v>66</v>
      </c>
      <c r="E130" s="11" t="s">
        <v>43</v>
      </c>
      <c r="F130" s="34" t="s">
        <v>44</v>
      </c>
      <c r="G130" s="34">
        <v>1236190</v>
      </c>
      <c r="H130" s="22" t="s">
        <v>38</v>
      </c>
      <c r="I130" s="152" t="s">
        <v>27</v>
      </c>
      <c r="J130" s="152" t="s">
        <v>27</v>
      </c>
      <c r="K130" s="152" t="s">
        <v>27</v>
      </c>
      <c r="L130" s="152" t="s">
        <v>27</v>
      </c>
      <c r="M130" s="152" t="s">
        <v>27</v>
      </c>
      <c r="N130" s="152" t="s">
        <v>27</v>
      </c>
      <c r="O130" s="152" t="s">
        <v>27</v>
      </c>
      <c r="P130" s="152" t="s">
        <v>27</v>
      </c>
      <c r="Q130" s="152" t="s">
        <v>27</v>
      </c>
      <c r="R130" s="22"/>
      <c r="S130" s="33">
        <f t="shared" si="1"/>
        <v>2024</v>
      </c>
      <c r="T130" s="153"/>
    </row>
    <row r="131" spans="1:20" x14ac:dyDescent="0.35">
      <c r="A131" s="22" t="s">
        <v>390</v>
      </c>
      <c r="B131" s="23" t="s">
        <v>391</v>
      </c>
      <c r="C131" s="11" t="s">
        <v>276</v>
      </c>
      <c r="D131" s="22" t="s">
        <v>48</v>
      </c>
      <c r="E131" s="11" t="s">
        <v>43</v>
      </c>
      <c r="F131" s="34" t="s">
        <v>44</v>
      </c>
      <c r="G131" s="34">
        <v>1221000</v>
      </c>
      <c r="H131" s="22" t="s">
        <v>38</v>
      </c>
      <c r="I131" s="152" t="s">
        <v>27</v>
      </c>
      <c r="J131" s="152" t="s">
        <v>27</v>
      </c>
      <c r="K131" s="152" t="s">
        <v>27</v>
      </c>
      <c r="L131" s="152" t="s">
        <v>27</v>
      </c>
      <c r="M131" s="152" t="s">
        <v>27</v>
      </c>
      <c r="N131" s="152" t="s">
        <v>27</v>
      </c>
      <c r="O131" s="152" t="s">
        <v>27</v>
      </c>
      <c r="P131" s="152" t="s">
        <v>27</v>
      </c>
      <c r="Q131" s="152" t="s">
        <v>27</v>
      </c>
      <c r="R131" s="22"/>
      <c r="S131" s="33">
        <f t="shared" si="1"/>
        <v>2024</v>
      </c>
      <c r="T131" s="153"/>
    </row>
    <row r="132" spans="1:20" x14ac:dyDescent="0.35">
      <c r="A132" s="22" t="s">
        <v>392</v>
      </c>
      <c r="B132" s="23" t="s">
        <v>393</v>
      </c>
      <c r="C132" s="11" t="s">
        <v>394</v>
      </c>
      <c r="D132" s="22" t="s">
        <v>23</v>
      </c>
      <c r="E132" s="11" t="s">
        <v>43</v>
      </c>
      <c r="F132" s="34" t="s">
        <v>44</v>
      </c>
      <c r="G132" s="34">
        <v>575000</v>
      </c>
      <c r="H132" s="22" t="s">
        <v>38</v>
      </c>
      <c r="I132" s="152" t="s">
        <v>27</v>
      </c>
      <c r="J132" s="152" t="s">
        <v>27</v>
      </c>
      <c r="K132" s="152" t="s">
        <v>27</v>
      </c>
      <c r="L132" s="152" t="s">
        <v>27</v>
      </c>
      <c r="M132" s="152" t="s">
        <v>27</v>
      </c>
      <c r="N132" s="152" t="s">
        <v>27</v>
      </c>
      <c r="O132" s="152" t="s">
        <v>27</v>
      </c>
      <c r="P132" s="152" t="s">
        <v>27</v>
      </c>
      <c r="Q132" s="186" t="s">
        <v>27</v>
      </c>
      <c r="R132" s="187"/>
      <c r="S132" s="33">
        <f t="shared" si="1"/>
        <v>2024</v>
      </c>
      <c r="T132" s="153"/>
    </row>
    <row r="133" spans="1:20" ht="15.5" x14ac:dyDescent="0.35">
      <c r="A133" s="22" t="s">
        <v>395</v>
      </c>
      <c r="B133" s="23" t="s">
        <v>396</v>
      </c>
      <c r="C133" s="11" t="s">
        <v>41</v>
      </c>
      <c r="D133" s="22" t="s">
        <v>48</v>
      </c>
      <c r="E133" s="11" t="s">
        <v>43</v>
      </c>
      <c r="F133" s="34" t="s">
        <v>44</v>
      </c>
      <c r="G133" s="34">
        <v>740000</v>
      </c>
      <c r="H133" s="22" t="s">
        <v>26</v>
      </c>
      <c r="I133" s="152" t="s">
        <v>27</v>
      </c>
      <c r="J133" s="155" t="s">
        <v>28</v>
      </c>
      <c r="K133" s="152"/>
      <c r="L133" s="152"/>
      <c r="M133" s="152"/>
      <c r="N133" s="152"/>
      <c r="O133" s="152"/>
      <c r="P133" s="181"/>
      <c r="Q133" s="152"/>
      <c r="R133" s="22" t="s">
        <v>266</v>
      </c>
      <c r="S133" s="184">
        <f t="shared" si="1"/>
        <v>2024</v>
      </c>
      <c r="T133" s="153">
        <v>45337</v>
      </c>
    </row>
    <row r="134" spans="1:20" x14ac:dyDescent="0.35">
      <c r="A134" s="22" t="s">
        <v>397</v>
      </c>
      <c r="B134" s="23" t="s">
        <v>398</v>
      </c>
      <c r="C134" s="11" t="s">
        <v>399</v>
      </c>
      <c r="D134" s="22" t="s">
        <v>42</v>
      </c>
      <c r="E134" s="11" t="s">
        <v>24</v>
      </c>
      <c r="F134" s="34" t="s">
        <v>25</v>
      </c>
      <c r="G134" s="34">
        <v>504000</v>
      </c>
      <c r="H134" s="22" t="s">
        <v>38</v>
      </c>
      <c r="I134" s="152" t="s">
        <v>27</v>
      </c>
      <c r="J134" s="152" t="s">
        <v>27</v>
      </c>
      <c r="K134" s="152" t="s">
        <v>27</v>
      </c>
      <c r="L134" s="152" t="s">
        <v>27</v>
      </c>
      <c r="M134" s="152" t="s">
        <v>27</v>
      </c>
      <c r="N134" s="152" t="s">
        <v>27</v>
      </c>
      <c r="O134" s="152" t="s">
        <v>27</v>
      </c>
      <c r="P134" s="152" t="s">
        <v>27</v>
      </c>
      <c r="Q134" s="190" t="s">
        <v>27</v>
      </c>
      <c r="R134" s="191"/>
      <c r="S134" s="33">
        <f t="shared" si="1"/>
        <v>2024</v>
      </c>
      <c r="T134" s="153"/>
    </row>
    <row r="135" spans="1:20" x14ac:dyDescent="0.35">
      <c r="A135" s="22" t="s">
        <v>400</v>
      </c>
      <c r="B135" s="23" t="s">
        <v>401</v>
      </c>
      <c r="C135" s="11" t="s">
        <v>402</v>
      </c>
      <c r="D135" s="22" t="s">
        <v>82</v>
      </c>
      <c r="E135" s="11" t="s">
        <v>24</v>
      </c>
      <c r="F135" s="34" t="s">
        <v>25</v>
      </c>
      <c r="G135" s="34">
        <v>1080000</v>
      </c>
      <c r="H135" s="22" t="s">
        <v>38</v>
      </c>
      <c r="I135" s="152" t="s">
        <v>27</v>
      </c>
      <c r="J135" s="152" t="s">
        <v>27</v>
      </c>
      <c r="K135" s="152" t="s">
        <v>27</v>
      </c>
      <c r="L135" s="152" t="s">
        <v>27</v>
      </c>
      <c r="M135" s="152" t="s">
        <v>27</v>
      </c>
      <c r="N135" s="152" t="s">
        <v>27</v>
      </c>
      <c r="O135" s="152" t="s">
        <v>27</v>
      </c>
      <c r="P135" s="152" t="s">
        <v>27</v>
      </c>
      <c r="Q135" s="152" t="s">
        <v>27</v>
      </c>
      <c r="R135" s="22"/>
      <c r="S135" s="33">
        <f t="shared" si="1"/>
        <v>2024</v>
      </c>
      <c r="T135" s="153"/>
    </row>
    <row r="136" spans="1:20" x14ac:dyDescent="0.35">
      <c r="A136" s="22" t="s">
        <v>403</v>
      </c>
      <c r="B136" s="23" t="s">
        <v>404</v>
      </c>
      <c r="C136" s="11" t="s">
        <v>152</v>
      </c>
      <c r="D136" s="22" t="s">
        <v>23</v>
      </c>
      <c r="E136" s="11" t="s">
        <v>24</v>
      </c>
      <c r="F136" s="34" t="s">
        <v>25</v>
      </c>
      <c r="G136" s="34">
        <v>1053182</v>
      </c>
      <c r="H136" s="22" t="s">
        <v>38</v>
      </c>
      <c r="I136" s="152" t="s">
        <v>27</v>
      </c>
      <c r="J136" s="152" t="s">
        <v>27</v>
      </c>
      <c r="K136" s="152" t="s">
        <v>27</v>
      </c>
      <c r="L136" s="152" t="s">
        <v>27</v>
      </c>
      <c r="M136" s="152" t="s">
        <v>27</v>
      </c>
      <c r="N136" s="152" t="s">
        <v>27</v>
      </c>
      <c r="O136" s="152" t="s">
        <v>27</v>
      </c>
      <c r="P136" s="152" t="s">
        <v>27</v>
      </c>
      <c r="Q136" s="152" t="s">
        <v>27</v>
      </c>
      <c r="R136" s="22"/>
      <c r="S136" s="33">
        <f t="shared" si="1"/>
        <v>2024</v>
      </c>
      <c r="T136" s="153"/>
    </row>
    <row r="137" spans="1:20" x14ac:dyDescent="0.35">
      <c r="A137" s="22" t="s">
        <v>405</v>
      </c>
      <c r="B137" s="23" t="s">
        <v>406</v>
      </c>
      <c r="C137" s="11" t="s">
        <v>407</v>
      </c>
      <c r="D137" s="22" t="s">
        <v>61</v>
      </c>
      <c r="E137" s="11" t="s">
        <v>43</v>
      </c>
      <c r="F137" s="34" t="s">
        <v>44</v>
      </c>
      <c r="G137" s="34">
        <v>1680000</v>
      </c>
      <c r="H137" s="22" t="s">
        <v>38</v>
      </c>
      <c r="I137" s="152" t="s">
        <v>27</v>
      </c>
      <c r="J137" s="152" t="s">
        <v>27</v>
      </c>
      <c r="K137" s="152" t="s">
        <v>27</v>
      </c>
      <c r="L137" s="152" t="s">
        <v>27</v>
      </c>
      <c r="M137" s="152" t="s">
        <v>27</v>
      </c>
      <c r="N137" s="152" t="s">
        <v>27</v>
      </c>
      <c r="O137" s="152" t="s">
        <v>27</v>
      </c>
      <c r="P137" s="152" t="s">
        <v>27</v>
      </c>
      <c r="Q137" s="186" t="s">
        <v>27</v>
      </c>
      <c r="R137" s="187"/>
      <c r="S137" s="33">
        <f t="shared" si="1"/>
        <v>2024</v>
      </c>
      <c r="T137" s="153"/>
    </row>
    <row r="138" spans="1:20" x14ac:dyDescent="0.35">
      <c r="A138" s="22" t="s">
        <v>408</v>
      </c>
      <c r="B138" s="23" t="s">
        <v>409</v>
      </c>
      <c r="C138" s="11" t="s">
        <v>41</v>
      </c>
      <c r="D138" s="22" t="s">
        <v>61</v>
      </c>
      <c r="E138" s="11" t="s">
        <v>43</v>
      </c>
      <c r="F138" s="34" t="s">
        <v>44</v>
      </c>
      <c r="G138" s="34">
        <v>0</v>
      </c>
      <c r="H138" s="22" t="s">
        <v>26</v>
      </c>
      <c r="I138" s="157"/>
      <c r="J138" s="157"/>
      <c r="K138" s="157"/>
      <c r="L138" s="157"/>
      <c r="M138" s="157"/>
      <c r="N138" s="157"/>
      <c r="O138" s="157"/>
      <c r="P138" s="182"/>
      <c r="Q138" s="182"/>
      <c r="R138" s="22"/>
      <c r="S138" s="184">
        <f t="shared" ref="S138:S201" si="2">IFERROR(2000+VALUE(LEFT(A138,2)),"")</f>
        <v>2023</v>
      </c>
      <c r="T138" s="153"/>
    </row>
    <row r="139" spans="1:20" x14ac:dyDescent="0.35">
      <c r="A139" s="22" t="s">
        <v>410</v>
      </c>
      <c r="B139" s="23" t="s">
        <v>411</v>
      </c>
      <c r="C139" s="11" t="s">
        <v>41</v>
      </c>
      <c r="D139" s="22" t="s">
        <v>82</v>
      </c>
      <c r="E139" s="11" t="s">
        <v>43</v>
      </c>
      <c r="F139" s="34" t="s">
        <v>44</v>
      </c>
      <c r="G139" s="34">
        <v>8820000</v>
      </c>
      <c r="H139" s="22" t="s">
        <v>38</v>
      </c>
      <c r="I139" s="152" t="s">
        <v>27</v>
      </c>
      <c r="J139" s="152" t="s">
        <v>27</v>
      </c>
      <c r="K139" s="152" t="s">
        <v>27</v>
      </c>
      <c r="L139" s="152" t="s">
        <v>27</v>
      </c>
      <c r="M139" s="152" t="s">
        <v>27</v>
      </c>
      <c r="N139" s="152" t="s">
        <v>27</v>
      </c>
      <c r="O139" s="152" t="s">
        <v>27</v>
      </c>
      <c r="P139" s="152" t="s">
        <v>27</v>
      </c>
      <c r="Q139" s="190" t="s">
        <v>27</v>
      </c>
      <c r="R139" s="191"/>
      <c r="S139" s="33">
        <f t="shared" si="2"/>
        <v>2023</v>
      </c>
      <c r="T139" s="153"/>
    </row>
    <row r="140" spans="1:20" x14ac:dyDescent="0.35">
      <c r="A140" s="22" t="s">
        <v>412</v>
      </c>
      <c r="B140" s="23" t="s">
        <v>413</v>
      </c>
      <c r="C140" s="11" t="s">
        <v>41</v>
      </c>
      <c r="D140" s="22" t="s">
        <v>82</v>
      </c>
      <c r="E140" s="11" t="s">
        <v>43</v>
      </c>
      <c r="F140" s="34" t="s">
        <v>44</v>
      </c>
      <c r="G140" s="34">
        <v>2200000</v>
      </c>
      <c r="H140" s="22" t="s">
        <v>38</v>
      </c>
      <c r="I140" s="152" t="s">
        <v>27</v>
      </c>
      <c r="J140" s="152" t="s">
        <v>27</v>
      </c>
      <c r="K140" s="152" t="s">
        <v>27</v>
      </c>
      <c r="L140" s="152" t="s">
        <v>27</v>
      </c>
      <c r="M140" s="152" t="s">
        <v>27</v>
      </c>
      <c r="N140" s="152" t="s">
        <v>27</v>
      </c>
      <c r="O140" s="152" t="s">
        <v>27</v>
      </c>
      <c r="P140" s="152" t="s">
        <v>27</v>
      </c>
      <c r="Q140" s="152" t="s">
        <v>27</v>
      </c>
      <c r="R140" s="22"/>
      <c r="S140" s="33">
        <f t="shared" si="2"/>
        <v>2023</v>
      </c>
      <c r="T140" s="153"/>
    </row>
    <row r="141" spans="1:20" x14ac:dyDescent="0.35">
      <c r="A141" s="22" t="s">
        <v>414</v>
      </c>
      <c r="B141" s="23" t="s">
        <v>415</v>
      </c>
      <c r="C141" s="11" t="s">
        <v>416</v>
      </c>
      <c r="D141" s="22" t="s">
        <v>116</v>
      </c>
      <c r="E141" s="11" t="s">
        <v>24</v>
      </c>
      <c r="F141" s="34" t="s">
        <v>25</v>
      </c>
      <c r="G141" s="34">
        <v>1900000</v>
      </c>
      <c r="H141" s="22" t="s">
        <v>38</v>
      </c>
      <c r="I141" s="152" t="s">
        <v>27</v>
      </c>
      <c r="J141" s="152" t="s">
        <v>27</v>
      </c>
      <c r="K141" s="152" t="s">
        <v>27</v>
      </c>
      <c r="L141" s="152" t="s">
        <v>27</v>
      </c>
      <c r="M141" s="152" t="s">
        <v>27</v>
      </c>
      <c r="N141" s="152" t="s">
        <v>27</v>
      </c>
      <c r="O141" s="152" t="s">
        <v>27</v>
      </c>
      <c r="P141" s="152" t="s">
        <v>27</v>
      </c>
      <c r="Q141" s="152" t="s">
        <v>27</v>
      </c>
      <c r="R141" s="22"/>
      <c r="S141" s="33">
        <f t="shared" si="2"/>
        <v>2023</v>
      </c>
      <c r="T141" s="153"/>
    </row>
    <row r="142" spans="1:20" x14ac:dyDescent="0.35">
      <c r="A142" s="22" t="s">
        <v>417</v>
      </c>
      <c r="B142" s="23" t="s">
        <v>418</v>
      </c>
      <c r="C142" s="11" t="s">
        <v>419</v>
      </c>
      <c r="D142" s="22" t="s">
        <v>37</v>
      </c>
      <c r="E142" s="11" t="s">
        <v>24</v>
      </c>
      <c r="F142" s="34" t="s">
        <v>25</v>
      </c>
      <c r="G142" s="34">
        <v>2317000</v>
      </c>
      <c r="H142" s="22" t="s">
        <v>38</v>
      </c>
      <c r="I142" s="152" t="s">
        <v>27</v>
      </c>
      <c r="J142" s="152" t="s">
        <v>27</v>
      </c>
      <c r="K142" s="152" t="s">
        <v>27</v>
      </c>
      <c r="L142" s="152" t="s">
        <v>27</v>
      </c>
      <c r="M142" s="152" t="s">
        <v>27</v>
      </c>
      <c r="N142" s="152" t="s">
        <v>27</v>
      </c>
      <c r="O142" s="152" t="s">
        <v>27</v>
      </c>
      <c r="P142" s="152" t="s">
        <v>27</v>
      </c>
      <c r="Q142" s="152" t="s">
        <v>27</v>
      </c>
      <c r="R142" s="22"/>
      <c r="S142" s="33">
        <f t="shared" si="2"/>
        <v>2023</v>
      </c>
      <c r="T142" s="153"/>
    </row>
    <row r="143" spans="1:20" x14ac:dyDescent="0.35">
      <c r="A143" s="22" t="s">
        <v>420</v>
      </c>
      <c r="B143" s="23" t="s">
        <v>421</v>
      </c>
      <c r="C143" s="11" t="s">
        <v>422</v>
      </c>
      <c r="D143" s="22" t="s">
        <v>82</v>
      </c>
      <c r="E143" s="11" t="s">
        <v>24</v>
      </c>
      <c r="F143" s="34" t="s">
        <v>25</v>
      </c>
      <c r="G143" s="34">
        <v>180000</v>
      </c>
      <c r="H143" s="22" t="s">
        <v>38</v>
      </c>
      <c r="I143" s="152" t="s">
        <v>27</v>
      </c>
      <c r="J143" s="152" t="s">
        <v>27</v>
      </c>
      <c r="K143" s="152" t="s">
        <v>27</v>
      </c>
      <c r="L143" s="152" t="s">
        <v>27</v>
      </c>
      <c r="M143" s="152" t="s">
        <v>27</v>
      </c>
      <c r="N143" s="152" t="s">
        <v>27</v>
      </c>
      <c r="O143" s="152" t="s">
        <v>27</v>
      </c>
      <c r="P143" s="152" t="s">
        <v>27</v>
      </c>
      <c r="Q143" s="152" t="s">
        <v>27</v>
      </c>
      <c r="R143" s="22"/>
      <c r="S143" s="33">
        <f t="shared" si="2"/>
        <v>2023</v>
      </c>
      <c r="T143" s="153"/>
    </row>
    <row r="144" spans="1:20" x14ac:dyDescent="0.35">
      <c r="A144" s="22" t="s">
        <v>423</v>
      </c>
      <c r="B144" s="23" t="s">
        <v>424</v>
      </c>
      <c r="C144" s="11" t="s">
        <v>41</v>
      </c>
      <c r="D144" s="22" t="s">
        <v>48</v>
      </c>
      <c r="E144" s="11" t="s">
        <v>43</v>
      </c>
      <c r="F144" s="34" t="s">
        <v>44</v>
      </c>
      <c r="G144" s="34">
        <v>1495000</v>
      </c>
      <c r="H144" s="22" t="s">
        <v>38</v>
      </c>
      <c r="I144" s="152" t="s">
        <v>27</v>
      </c>
      <c r="J144" s="152" t="s">
        <v>27</v>
      </c>
      <c r="K144" s="152" t="s">
        <v>27</v>
      </c>
      <c r="L144" s="152" t="s">
        <v>27</v>
      </c>
      <c r="M144" s="152" t="s">
        <v>27</v>
      </c>
      <c r="N144" s="152" t="s">
        <v>27</v>
      </c>
      <c r="O144" s="152" t="s">
        <v>27</v>
      </c>
      <c r="P144" s="152" t="s">
        <v>27</v>
      </c>
      <c r="Q144" s="152" t="s">
        <v>27</v>
      </c>
      <c r="R144" s="22"/>
      <c r="S144" s="33">
        <f t="shared" si="2"/>
        <v>2023</v>
      </c>
      <c r="T144" s="153"/>
    </row>
    <row r="145" spans="1:20" x14ac:dyDescent="0.35">
      <c r="A145" s="22" t="s">
        <v>425</v>
      </c>
      <c r="B145" s="23" t="s">
        <v>426</v>
      </c>
      <c r="C145" s="11" t="s">
        <v>152</v>
      </c>
      <c r="D145" s="22" t="s">
        <v>37</v>
      </c>
      <c r="E145" s="11" t="s">
        <v>24</v>
      </c>
      <c r="F145" s="34" t="s">
        <v>25</v>
      </c>
      <c r="G145" s="34">
        <v>10579351</v>
      </c>
      <c r="H145" s="22" t="s">
        <v>38</v>
      </c>
      <c r="I145" s="152" t="s">
        <v>27</v>
      </c>
      <c r="J145" s="152" t="s">
        <v>27</v>
      </c>
      <c r="K145" s="152" t="s">
        <v>27</v>
      </c>
      <c r="L145" s="152" t="s">
        <v>27</v>
      </c>
      <c r="M145" s="152" t="s">
        <v>27</v>
      </c>
      <c r="N145" s="152" t="s">
        <v>27</v>
      </c>
      <c r="O145" s="152" t="s">
        <v>27</v>
      </c>
      <c r="P145" s="152" t="s">
        <v>27</v>
      </c>
      <c r="Q145" s="152" t="s">
        <v>27</v>
      </c>
      <c r="R145" s="22"/>
      <c r="S145" s="33">
        <f t="shared" si="2"/>
        <v>2023</v>
      </c>
      <c r="T145" s="153"/>
    </row>
    <row r="146" spans="1:20" x14ac:dyDescent="0.35">
      <c r="A146" s="22" t="s">
        <v>427</v>
      </c>
      <c r="B146" s="23" t="s">
        <v>428</v>
      </c>
      <c r="C146" s="11" t="s">
        <v>361</v>
      </c>
      <c r="D146" s="22" t="s">
        <v>23</v>
      </c>
      <c r="E146" s="11" t="s">
        <v>24</v>
      </c>
      <c r="F146" s="34" t="s">
        <v>25</v>
      </c>
      <c r="G146" s="34">
        <f>103950+105000</f>
        <v>208950</v>
      </c>
      <c r="H146" s="22" t="s">
        <v>38</v>
      </c>
      <c r="I146" s="152" t="s">
        <v>27</v>
      </c>
      <c r="J146" s="152" t="s">
        <v>27</v>
      </c>
      <c r="K146" s="152" t="s">
        <v>27</v>
      </c>
      <c r="L146" s="152" t="s">
        <v>27</v>
      </c>
      <c r="M146" s="152" t="s">
        <v>27</v>
      </c>
      <c r="N146" s="152" t="s">
        <v>27</v>
      </c>
      <c r="O146" s="152" t="s">
        <v>27</v>
      </c>
      <c r="P146" s="152" t="s">
        <v>27</v>
      </c>
      <c r="Q146" s="152" t="s">
        <v>27</v>
      </c>
      <c r="R146" s="22"/>
      <c r="S146" s="33">
        <f t="shared" si="2"/>
        <v>2023</v>
      </c>
      <c r="T146" s="153"/>
    </row>
    <row r="147" spans="1:20" x14ac:dyDescent="0.35">
      <c r="A147" s="22" t="s">
        <v>429</v>
      </c>
      <c r="B147" s="23" t="s">
        <v>430</v>
      </c>
      <c r="C147" s="11" t="s">
        <v>41</v>
      </c>
      <c r="D147" s="22" t="s">
        <v>48</v>
      </c>
      <c r="E147" s="11" t="s">
        <v>43</v>
      </c>
      <c r="F147" s="34" t="s">
        <v>44</v>
      </c>
      <c r="G147" s="34">
        <v>1035000</v>
      </c>
      <c r="H147" s="22" t="s">
        <v>38</v>
      </c>
      <c r="I147" s="152" t="s">
        <v>27</v>
      </c>
      <c r="J147" s="152" t="s">
        <v>27</v>
      </c>
      <c r="K147" s="152" t="s">
        <v>27</v>
      </c>
      <c r="L147" s="152" t="s">
        <v>27</v>
      </c>
      <c r="M147" s="152" t="s">
        <v>27</v>
      </c>
      <c r="N147" s="152" t="s">
        <v>27</v>
      </c>
      <c r="O147" s="152" t="s">
        <v>27</v>
      </c>
      <c r="P147" s="152" t="s">
        <v>27</v>
      </c>
      <c r="Q147" s="152" t="s">
        <v>27</v>
      </c>
      <c r="R147" s="22" t="s">
        <v>431</v>
      </c>
      <c r="S147" s="33">
        <f t="shared" si="2"/>
        <v>2023</v>
      </c>
      <c r="T147" s="153"/>
    </row>
    <row r="148" spans="1:20" x14ac:dyDescent="0.35">
      <c r="A148" s="22" t="s">
        <v>432</v>
      </c>
      <c r="B148" s="23" t="s">
        <v>433</v>
      </c>
      <c r="C148" s="11" t="s">
        <v>41</v>
      </c>
      <c r="D148" s="22" t="s">
        <v>48</v>
      </c>
      <c r="E148" s="11" t="s">
        <v>43</v>
      </c>
      <c r="F148" s="34" t="s">
        <v>44</v>
      </c>
      <c r="G148" s="34">
        <v>1400000</v>
      </c>
      <c r="H148" s="22" t="s">
        <v>38</v>
      </c>
      <c r="I148" s="152" t="s">
        <v>27</v>
      </c>
      <c r="J148" s="152" t="s">
        <v>27</v>
      </c>
      <c r="K148" s="152" t="s">
        <v>27</v>
      </c>
      <c r="L148" s="152" t="s">
        <v>27</v>
      </c>
      <c r="M148" s="152" t="s">
        <v>27</v>
      </c>
      <c r="N148" s="152" t="s">
        <v>27</v>
      </c>
      <c r="O148" s="152" t="s">
        <v>27</v>
      </c>
      <c r="P148" s="152" t="s">
        <v>27</v>
      </c>
      <c r="Q148" s="152" t="s">
        <v>27</v>
      </c>
      <c r="R148" s="22" t="s">
        <v>431</v>
      </c>
      <c r="S148" s="33">
        <f t="shared" si="2"/>
        <v>2023</v>
      </c>
      <c r="T148" s="153"/>
    </row>
    <row r="149" spans="1:20" x14ac:dyDescent="0.35">
      <c r="A149" s="22" t="s">
        <v>434</v>
      </c>
      <c r="B149" s="23" t="s">
        <v>435</v>
      </c>
      <c r="C149" s="11" t="s">
        <v>436</v>
      </c>
      <c r="D149" s="22" t="s">
        <v>116</v>
      </c>
      <c r="E149" s="11" t="s">
        <v>24</v>
      </c>
      <c r="F149" s="34" t="s">
        <v>25</v>
      </c>
      <c r="G149" s="34">
        <v>60000</v>
      </c>
      <c r="H149" s="22" t="s">
        <v>38</v>
      </c>
      <c r="I149" s="152" t="s">
        <v>27</v>
      </c>
      <c r="J149" s="152" t="s">
        <v>27</v>
      </c>
      <c r="K149" s="152" t="s">
        <v>27</v>
      </c>
      <c r="L149" s="152" t="s">
        <v>27</v>
      </c>
      <c r="M149" s="152" t="s">
        <v>27</v>
      </c>
      <c r="N149" s="152" t="s">
        <v>27</v>
      </c>
      <c r="O149" s="152" t="s">
        <v>27</v>
      </c>
      <c r="P149" s="152" t="s">
        <v>27</v>
      </c>
      <c r="Q149" s="152" t="s">
        <v>27</v>
      </c>
      <c r="R149" s="22"/>
      <c r="S149" s="33">
        <f t="shared" si="2"/>
        <v>2023</v>
      </c>
      <c r="T149" s="153"/>
    </row>
    <row r="150" spans="1:20" x14ac:dyDescent="0.35">
      <c r="A150" s="22" t="s">
        <v>437</v>
      </c>
      <c r="B150" s="23" t="s">
        <v>438</v>
      </c>
      <c r="C150" s="11" t="s">
        <v>439</v>
      </c>
      <c r="D150" s="22" t="s">
        <v>23</v>
      </c>
      <c r="E150" s="11" t="s">
        <v>76</v>
      </c>
      <c r="F150" s="34" t="s">
        <v>77</v>
      </c>
      <c r="G150" s="34">
        <f>2755000+1613000</f>
        <v>4368000</v>
      </c>
      <c r="H150" s="22" t="s">
        <v>440</v>
      </c>
      <c r="I150" s="152" t="s">
        <v>27</v>
      </c>
      <c r="J150" s="152" t="s">
        <v>27</v>
      </c>
      <c r="K150" s="152" t="s">
        <v>27</v>
      </c>
      <c r="L150" s="152" t="s">
        <v>27</v>
      </c>
      <c r="M150" s="152" t="s">
        <v>27</v>
      </c>
      <c r="N150" s="152" t="s">
        <v>27</v>
      </c>
      <c r="O150" s="152" t="s">
        <v>27</v>
      </c>
      <c r="P150" s="152" t="s">
        <v>27</v>
      </c>
      <c r="Q150" s="152" t="s">
        <v>27</v>
      </c>
      <c r="R150" s="22" t="s">
        <v>240</v>
      </c>
      <c r="S150" s="33">
        <f t="shared" si="2"/>
        <v>2023</v>
      </c>
      <c r="T150" s="153"/>
    </row>
    <row r="151" spans="1:20" x14ac:dyDescent="0.35">
      <c r="A151" s="22" t="s">
        <v>441</v>
      </c>
      <c r="B151" s="23" t="s">
        <v>442</v>
      </c>
      <c r="C151" s="11" t="s">
        <v>152</v>
      </c>
      <c r="D151" s="22" t="s">
        <v>37</v>
      </c>
      <c r="E151" s="11" t="s">
        <v>24</v>
      </c>
      <c r="F151" s="34" t="s">
        <v>25</v>
      </c>
      <c r="G151" s="34">
        <v>0</v>
      </c>
      <c r="H151" s="22" t="s">
        <v>38</v>
      </c>
      <c r="I151" s="157"/>
      <c r="J151" s="157"/>
      <c r="K151" s="157"/>
      <c r="L151" s="157"/>
      <c r="M151" s="157"/>
      <c r="N151" s="157"/>
      <c r="O151" s="157"/>
      <c r="P151" s="157"/>
      <c r="Q151" s="157"/>
      <c r="R151" s="22"/>
      <c r="S151" s="33">
        <f t="shared" si="2"/>
        <v>2023</v>
      </c>
      <c r="T151" s="153"/>
    </row>
    <row r="152" spans="1:20" x14ac:dyDescent="0.35">
      <c r="A152" s="22" t="s">
        <v>443</v>
      </c>
      <c r="B152" s="23" t="s">
        <v>444</v>
      </c>
      <c r="C152" s="11" t="s">
        <v>445</v>
      </c>
      <c r="D152" s="22" t="s">
        <v>37</v>
      </c>
      <c r="E152" s="11" t="s">
        <v>24</v>
      </c>
      <c r="F152" s="34" t="s">
        <v>25</v>
      </c>
      <c r="G152" s="34">
        <v>718000</v>
      </c>
      <c r="H152" s="22" t="s">
        <v>38</v>
      </c>
      <c r="I152" s="152" t="s">
        <v>27</v>
      </c>
      <c r="J152" s="152" t="s">
        <v>27</v>
      </c>
      <c r="K152" s="152" t="s">
        <v>27</v>
      </c>
      <c r="L152" s="152" t="s">
        <v>27</v>
      </c>
      <c r="M152" s="152" t="s">
        <v>27</v>
      </c>
      <c r="N152" s="152" t="s">
        <v>27</v>
      </c>
      <c r="O152" s="152" t="s">
        <v>27</v>
      </c>
      <c r="P152" s="152" t="s">
        <v>27</v>
      </c>
      <c r="Q152" s="152" t="s">
        <v>27</v>
      </c>
      <c r="R152" s="22"/>
      <c r="S152" s="33">
        <f t="shared" si="2"/>
        <v>2023</v>
      </c>
      <c r="T152" s="153"/>
    </row>
    <row r="153" spans="1:20" x14ac:dyDescent="0.35">
      <c r="A153" s="22" t="s">
        <v>446</v>
      </c>
      <c r="B153" s="23" t="s">
        <v>447</v>
      </c>
      <c r="C153" s="11" t="s">
        <v>361</v>
      </c>
      <c r="D153" s="22" t="s">
        <v>37</v>
      </c>
      <c r="E153" s="11" t="s">
        <v>24</v>
      </c>
      <c r="F153" s="34" t="s">
        <v>25</v>
      </c>
      <c r="G153" s="34">
        <v>1499000</v>
      </c>
      <c r="H153" s="22" t="s">
        <v>38</v>
      </c>
      <c r="I153" s="152" t="s">
        <v>27</v>
      </c>
      <c r="J153" s="152" t="s">
        <v>27</v>
      </c>
      <c r="K153" s="152" t="s">
        <v>27</v>
      </c>
      <c r="L153" s="152" t="s">
        <v>27</v>
      </c>
      <c r="M153" s="152" t="s">
        <v>27</v>
      </c>
      <c r="N153" s="152" t="s">
        <v>27</v>
      </c>
      <c r="O153" s="152" t="s">
        <v>27</v>
      </c>
      <c r="P153" s="152" t="s">
        <v>27</v>
      </c>
      <c r="Q153" s="152" t="s">
        <v>27</v>
      </c>
      <c r="R153" s="22"/>
      <c r="S153" s="33">
        <f t="shared" si="2"/>
        <v>2023</v>
      </c>
      <c r="T153" s="153"/>
    </row>
    <row r="154" spans="1:20" x14ac:dyDescent="0.35">
      <c r="A154" s="22" t="s">
        <v>448</v>
      </c>
      <c r="B154" s="23" t="s">
        <v>449</v>
      </c>
      <c r="C154" s="11" t="s">
        <v>450</v>
      </c>
      <c r="D154" s="22" t="s">
        <v>66</v>
      </c>
      <c r="E154" s="11" t="s">
        <v>43</v>
      </c>
      <c r="F154" s="34" t="s">
        <v>25</v>
      </c>
      <c r="G154" s="34">
        <v>565000</v>
      </c>
      <c r="H154" s="22" t="s">
        <v>38</v>
      </c>
      <c r="I154" s="152" t="s">
        <v>27</v>
      </c>
      <c r="J154" s="152" t="s">
        <v>27</v>
      </c>
      <c r="K154" s="152" t="s">
        <v>27</v>
      </c>
      <c r="L154" s="152" t="s">
        <v>27</v>
      </c>
      <c r="M154" s="152" t="s">
        <v>27</v>
      </c>
      <c r="N154" s="152" t="s">
        <v>27</v>
      </c>
      <c r="O154" s="152" t="s">
        <v>27</v>
      </c>
      <c r="P154" s="152" t="s">
        <v>27</v>
      </c>
      <c r="Q154" s="152" t="s">
        <v>27</v>
      </c>
      <c r="R154" s="22"/>
      <c r="S154" s="33">
        <f t="shared" si="2"/>
        <v>2023</v>
      </c>
      <c r="T154" s="153"/>
    </row>
    <row r="155" spans="1:20" x14ac:dyDescent="0.35">
      <c r="A155" s="22" t="s">
        <v>451</v>
      </c>
      <c r="B155" s="23" t="s">
        <v>452</v>
      </c>
      <c r="C155" s="11" t="s">
        <v>453</v>
      </c>
      <c r="D155" s="22" t="s">
        <v>82</v>
      </c>
      <c r="E155" s="11" t="s">
        <v>43</v>
      </c>
      <c r="F155" s="34" t="s">
        <v>25</v>
      </c>
      <c r="G155" s="34">
        <v>650000</v>
      </c>
      <c r="H155" s="22" t="s">
        <v>38</v>
      </c>
      <c r="I155" s="152" t="s">
        <v>27</v>
      </c>
      <c r="J155" s="152" t="s">
        <v>27</v>
      </c>
      <c r="K155" s="152" t="s">
        <v>27</v>
      </c>
      <c r="L155" s="152" t="s">
        <v>27</v>
      </c>
      <c r="M155" s="152" t="s">
        <v>27</v>
      </c>
      <c r="N155" s="152" t="s">
        <v>27</v>
      </c>
      <c r="O155" s="152" t="s">
        <v>27</v>
      </c>
      <c r="P155" s="152" t="s">
        <v>27</v>
      </c>
      <c r="Q155" s="152" t="s">
        <v>27</v>
      </c>
      <c r="R155" s="22"/>
      <c r="S155" s="33">
        <f t="shared" si="2"/>
        <v>2023</v>
      </c>
      <c r="T155" s="153"/>
    </row>
    <row r="156" spans="1:20" x14ac:dyDescent="0.35">
      <c r="A156" s="22" t="s">
        <v>454</v>
      </c>
      <c r="B156" s="23" t="s">
        <v>455</v>
      </c>
      <c r="C156" s="11" t="s">
        <v>456</v>
      </c>
      <c r="D156" s="22" t="s">
        <v>37</v>
      </c>
      <c r="E156" s="11" t="s">
        <v>24</v>
      </c>
      <c r="F156" s="34" t="s">
        <v>25</v>
      </c>
      <c r="G156" s="34">
        <v>498000</v>
      </c>
      <c r="H156" s="22" t="s">
        <v>38</v>
      </c>
      <c r="I156" s="152" t="s">
        <v>27</v>
      </c>
      <c r="J156" s="152" t="s">
        <v>27</v>
      </c>
      <c r="K156" s="152" t="s">
        <v>27</v>
      </c>
      <c r="L156" s="152" t="s">
        <v>27</v>
      </c>
      <c r="M156" s="152" t="s">
        <v>27</v>
      </c>
      <c r="N156" s="152" t="s">
        <v>27</v>
      </c>
      <c r="O156" s="152" t="s">
        <v>27</v>
      </c>
      <c r="P156" s="152" t="s">
        <v>27</v>
      </c>
      <c r="Q156" s="186" t="s">
        <v>27</v>
      </c>
      <c r="R156" s="187"/>
      <c r="S156" s="33">
        <f t="shared" si="2"/>
        <v>2023</v>
      </c>
      <c r="T156" s="153"/>
    </row>
    <row r="157" spans="1:20" x14ac:dyDescent="0.35">
      <c r="A157" s="22" t="s">
        <v>457</v>
      </c>
      <c r="B157" s="23" t="s">
        <v>458</v>
      </c>
      <c r="C157" s="11" t="s">
        <v>459</v>
      </c>
      <c r="D157" s="22" t="s">
        <v>48</v>
      </c>
      <c r="E157" s="11" t="s">
        <v>24</v>
      </c>
      <c r="F157" s="34" t="s">
        <v>25</v>
      </c>
      <c r="G157" s="34">
        <v>0</v>
      </c>
      <c r="H157" s="22" t="s">
        <v>26</v>
      </c>
      <c r="I157" s="157"/>
      <c r="J157" s="157"/>
      <c r="K157" s="157"/>
      <c r="L157" s="157"/>
      <c r="M157" s="157"/>
      <c r="N157" s="157"/>
      <c r="O157" s="157"/>
      <c r="P157" s="182"/>
      <c r="Q157" s="182"/>
      <c r="R157" s="22"/>
      <c r="S157" s="184">
        <f t="shared" si="2"/>
        <v>2023</v>
      </c>
      <c r="T157" s="153"/>
    </row>
    <row r="158" spans="1:20" x14ac:dyDescent="0.35">
      <c r="A158" s="22" t="s">
        <v>460</v>
      </c>
      <c r="B158" s="23" t="s">
        <v>461</v>
      </c>
      <c r="C158" s="11" t="s">
        <v>462</v>
      </c>
      <c r="D158" s="22" t="s">
        <v>23</v>
      </c>
      <c r="E158" s="11" t="s">
        <v>76</v>
      </c>
      <c r="F158" s="34" t="s">
        <v>77</v>
      </c>
      <c r="G158" s="34">
        <v>2858100</v>
      </c>
      <c r="H158" s="22" t="s">
        <v>38</v>
      </c>
      <c r="I158" s="152" t="s">
        <v>27</v>
      </c>
      <c r="J158" s="152" t="s">
        <v>27</v>
      </c>
      <c r="K158" s="152" t="s">
        <v>27</v>
      </c>
      <c r="L158" s="152" t="s">
        <v>27</v>
      </c>
      <c r="M158" s="152" t="s">
        <v>27</v>
      </c>
      <c r="N158" s="152" t="s">
        <v>27</v>
      </c>
      <c r="O158" s="152" t="s">
        <v>27</v>
      </c>
      <c r="P158" s="152" t="s">
        <v>27</v>
      </c>
      <c r="Q158" s="190" t="s">
        <v>27</v>
      </c>
      <c r="R158" s="191"/>
      <c r="S158" s="33">
        <f t="shared" si="2"/>
        <v>2023</v>
      </c>
      <c r="T158" s="153"/>
    </row>
    <row r="159" spans="1:20" x14ac:dyDescent="0.35">
      <c r="A159" s="22" t="s">
        <v>463</v>
      </c>
      <c r="B159" s="23" t="s">
        <v>464</v>
      </c>
      <c r="C159" s="11" t="s">
        <v>465</v>
      </c>
      <c r="D159" s="22" t="s">
        <v>82</v>
      </c>
      <c r="E159" s="11" t="s">
        <v>24</v>
      </c>
      <c r="F159" s="34" t="s">
        <v>25</v>
      </c>
      <c r="G159" s="34">
        <v>940000</v>
      </c>
      <c r="H159" s="22" t="s">
        <v>38</v>
      </c>
      <c r="I159" s="152" t="s">
        <v>27</v>
      </c>
      <c r="J159" s="152" t="s">
        <v>27</v>
      </c>
      <c r="K159" s="152" t="s">
        <v>27</v>
      </c>
      <c r="L159" s="152" t="s">
        <v>27</v>
      </c>
      <c r="M159" s="152" t="s">
        <v>27</v>
      </c>
      <c r="N159" s="152" t="s">
        <v>27</v>
      </c>
      <c r="O159" s="152" t="s">
        <v>27</v>
      </c>
      <c r="P159" s="152" t="s">
        <v>27</v>
      </c>
      <c r="Q159" s="152" t="s">
        <v>27</v>
      </c>
      <c r="R159" s="22"/>
      <c r="S159" s="33">
        <f t="shared" si="2"/>
        <v>2023</v>
      </c>
      <c r="T159" s="153"/>
    </row>
    <row r="160" spans="1:20" x14ac:dyDescent="0.35">
      <c r="A160" s="22" t="s">
        <v>466</v>
      </c>
      <c r="B160" s="23" t="s">
        <v>467</v>
      </c>
      <c r="C160" s="11" t="s">
        <v>419</v>
      </c>
      <c r="D160" s="22" t="s">
        <v>37</v>
      </c>
      <c r="E160" s="11" t="s">
        <v>24</v>
      </c>
      <c r="F160" s="34" t="s">
        <v>25</v>
      </c>
      <c r="G160" s="34">
        <v>568000</v>
      </c>
      <c r="H160" s="22" t="s">
        <v>38</v>
      </c>
      <c r="I160" s="152" t="s">
        <v>27</v>
      </c>
      <c r="J160" s="152" t="s">
        <v>27</v>
      </c>
      <c r="K160" s="152" t="s">
        <v>27</v>
      </c>
      <c r="L160" s="152" t="s">
        <v>27</v>
      </c>
      <c r="M160" s="152" t="s">
        <v>27</v>
      </c>
      <c r="N160" s="152" t="s">
        <v>27</v>
      </c>
      <c r="O160" s="152" t="s">
        <v>27</v>
      </c>
      <c r="P160" s="152" t="s">
        <v>27</v>
      </c>
      <c r="Q160" s="152" t="s">
        <v>27</v>
      </c>
      <c r="R160" s="22"/>
      <c r="S160" s="33">
        <f t="shared" si="2"/>
        <v>2023</v>
      </c>
      <c r="T160" s="153"/>
    </row>
    <row r="161" spans="1:20" x14ac:dyDescent="0.35">
      <c r="A161" s="22" t="s">
        <v>468</v>
      </c>
      <c r="B161" s="23" t="s">
        <v>469</v>
      </c>
      <c r="C161" s="11" t="s">
        <v>276</v>
      </c>
      <c r="D161" s="22" t="s">
        <v>48</v>
      </c>
      <c r="E161" s="11" t="s">
        <v>43</v>
      </c>
      <c r="F161" s="34" t="s">
        <v>25</v>
      </c>
      <c r="G161" s="34">
        <v>663338</v>
      </c>
      <c r="H161" s="22" t="s">
        <v>38</v>
      </c>
      <c r="I161" s="152" t="s">
        <v>27</v>
      </c>
      <c r="J161" s="152" t="s">
        <v>27</v>
      </c>
      <c r="K161" s="152" t="s">
        <v>27</v>
      </c>
      <c r="L161" s="152" t="s">
        <v>27</v>
      </c>
      <c r="M161" s="152" t="s">
        <v>27</v>
      </c>
      <c r="N161" s="152" t="s">
        <v>27</v>
      </c>
      <c r="O161" s="152" t="s">
        <v>27</v>
      </c>
      <c r="P161" s="152" t="s">
        <v>27</v>
      </c>
      <c r="Q161" s="152" t="s">
        <v>27</v>
      </c>
      <c r="R161" s="22"/>
      <c r="S161" s="33">
        <f t="shared" si="2"/>
        <v>2023</v>
      </c>
      <c r="T161" s="153"/>
    </row>
    <row r="162" spans="1:20" x14ac:dyDescent="0.35">
      <c r="A162" s="22" t="s">
        <v>470</v>
      </c>
      <c r="B162" s="23" t="s">
        <v>471</v>
      </c>
      <c r="C162" s="11" t="s">
        <v>276</v>
      </c>
      <c r="D162" s="22" t="s">
        <v>48</v>
      </c>
      <c r="E162" s="11" t="s">
        <v>43</v>
      </c>
      <c r="F162" s="34" t="s">
        <v>25</v>
      </c>
      <c r="G162" s="34">
        <v>1495000</v>
      </c>
      <c r="H162" s="22" t="s">
        <v>38</v>
      </c>
      <c r="I162" s="152" t="s">
        <v>27</v>
      </c>
      <c r="J162" s="152" t="s">
        <v>27</v>
      </c>
      <c r="K162" s="152" t="s">
        <v>27</v>
      </c>
      <c r="L162" s="152" t="s">
        <v>27</v>
      </c>
      <c r="M162" s="152" t="s">
        <v>27</v>
      </c>
      <c r="N162" s="152" t="s">
        <v>27</v>
      </c>
      <c r="O162" s="152" t="s">
        <v>27</v>
      </c>
      <c r="P162" s="152" t="s">
        <v>27</v>
      </c>
      <c r="Q162" s="152" t="s">
        <v>27</v>
      </c>
      <c r="R162" s="22" t="s">
        <v>472</v>
      </c>
      <c r="S162" s="33">
        <f t="shared" si="2"/>
        <v>2023</v>
      </c>
      <c r="T162" s="153"/>
    </row>
    <row r="163" spans="1:20" x14ac:dyDescent="0.35">
      <c r="A163" s="22" t="s">
        <v>473</v>
      </c>
      <c r="B163" s="23" t="s">
        <v>474</v>
      </c>
      <c r="C163" s="11" t="s">
        <v>475</v>
      </c>
      <c r="D163" s="22" t="s">
        <v>37</v>
      </c>
      <c r="E163" s="11" t="s">
        <v>43</v>
      </c>
      <c r="F163" s="34" t="s">
        <v>44</v>
      </c>
      <c r="G163" s="34">
        <v>4203971.63</v>
      </c>
      <c r="H163" s="22" t="s">
        <v>38</v>
      </c>
      <c r="I163" s="152" t="s">
        <v>27</v>
      </c>
      <c r="J163" s="152" t="s">
        <v>27</v>
      </c>
      <c r="K163" s="152" t="s">
        <v>27</v>
      </c>
      <c r="L163" s="152" t="s">
        <v>27</v>
      </c>
      <c r="M163" s="152" t="s">
        <v>27</v>
      </c>
      <c r="N163" s="152" t="s">
        <v>27</v>
      </c>
      <c r="O163" s="152" t="s">
        <v>27</v>
      </c>
      <c r="P163" s="152" t="s">
        <v>27</v>
      </c>
      <c r="Q163" s="152" t="s">
        <v>27</v>
      </c>
      <c r="R163" s="22"/>
      <c r="S163" s="33">
        <f t="shared" si="2"/>
        <v>2023</v>
      </c>
      <c r="T163" s="153"/>
    </row>
    <row r="164" spans="1:20" x14ac:dyDescent="0.35">
      <c r="A164" s="22" t="s">
        <v>476</v>
      </c>
      <c r="B164" s="23" t="s">
        <v>477</v>
      </c>
      <c r="C164" s="11" t="s">
        <v>478</v>
      </c>
      <c r="D164" s="22" t="s">
        <v>23</v>
      </c>
      <c r="E164" s="11" t="s">
        <v>24</v>
      </c>
      <c r="F164" s="34" t="s">
        <v>25</v>
      </c>
      <c r="G164" s="34">
        <v>506000</v>
      </c>
      <c r="H164" s="22" t="s">
        <v>38</v>
      </c>
      <c r="I164" s="152" t="s">
        <v>27</v>
      </c>
      <c r="J164" s="152" t="s">
        <v>27</v>
      </c>
      <c r="K164" s="152" t="s">
        <v>27</v>
      </c>
      <c r="L164" s="152" t="s">
        <v>27</v>
      </c>
      <c r="M164" s="152" t="s">
        <v>27</v>
      </c>
      <c r="N164" s="152" t="s">
        <v>27</v>
      </c>
      <c r="O164" s="152" t="s">
        <v>27</v>
      </c>
      <c r="P164" s="152" t="s">
        <v>27</v>
      </c>
      <c r="Q164" s="186" t="s">
        <v>27</v>
      </c>
      <c r="R164" s="187"/>
      <c r="S164" s="33">
        <f t="shared" si="2"/>
        <v>2023</v>
      </c>
      <c r="T164" s="153"/>
    </row>
    <row r="165" spans="1:20" x14ac:dyDescent="0.35">
      <c r="A165" s="22" t="s">
        <v>479</v>
      </c>
      <c r="B165" s="23" t="s">
        <v>480</v>
      </c>
      <c r="C165" s="11" t="s">
        <v>481</v>
      </c>
      <c r="D165" s="22" t="s">
        <v>23</v>
      </c>
      <c r="E165" s="11" t="s">
        <v>24</v>
      </c>
      <c r="F165" s="34" t="s">
        <v>25</v>
      </c>
      <c r="G165" s="34">
        <v>0</v>
      </c>
      <c r="H165" s="22" t="s">
        <v>26</v>
      </c>
      <c r="I165" s="157"/>
      <c r="J165" s="157"/>
      <c r="K165" s="157"/>
      <c r="L165" s="157"/>
      <c r="M165" s="157"/>
      <c r="N165" s="157"/>
      <c r="O165" s="157"/>
      <c r="P165" s="182"/>
      <c r="Q165" s="182"/>
      <c r="R165" s="22"/>
      <c r="S165" s="184">
        <f t="shared" si="2"/>
        <v>2023</v>
      </c>
      <c r="T165" s="153"/>
    </row>
    <row r="166" spans="1:20" x14ac:dyDescent="0.35">
      <c r="A166" s="22" t="s">
        <v>482</v>
      </c>
      <c r="B166" s="23" t="s">
        <v>483</v>
      </c>
      <c r="C166" s="11" t="s">
        <v>484</v>
      </c>
      <c r="D166" s="22" t="s">
        <v>61</v>
      </c>
      <c r="E166" s="11" t="s">
        <v>43</v>
      </c>
      <c r="F166" s="34" t="s">
        <v>25</v>
      </c>
      <c r="G166" s="34">
        <v>2580000</v>
      </c>
      <c r="H166" s="22" t="s">
        <v>38</v>
      </c>
      <c r="I166" s="152" t="s">
        <v>27</v>
      </c>
      <c r="J166" s="152" t="s">
        <v>27</v>
      </c>
      <c r="K166" s="152" t="s">
        <v>27</v>
      </c>
      <c r="L166" s="152" t="s">
        <v>27</v>
      </c>
      <c r="M166" s="152" t="s">
        <v>27</v>
      </c>
      <c r="N166" s="152" t="s">
        <v>27</v>
      </c>
      <c r="O166" s="152" t="s">
        <v>27</v>
      </c>
      <c r="P166" s="152" t="s">
        <v>27</v>
      </c>
      <c r="Q166" s="190" t="s">
        <v>27</v>
      </c>
      <c r="R166" s="191"/>
      <c r="S166" s="33">
        <f t="shared" si="2"/>
        <v>2023</v>
      </c>
      <c r="T166" s="153"/>
    </row>
    <row r="167" spans="1:20" x14ac:dyDescent="0.35">
      <c r="A167" s="22" t="s">
        <v>485</v>
      </c>
      <c r="B167" s="23" t="s">
        <v>486</v>
      </c>
      <c r="C167" s="11" t="s">
        <v>487</v>
      </c>
      <c r="D167" s="22" t="s">
        <v>48</v>
      </c>
      <c r="E167" s="11" t="s">
        <v>43</v>
      </c>
      <c r="F167" s="34" t="s">
        <v>44</v>
      </c>
      <c r="G167" s="34">
        <v>4740000</v>
      </c>
      <c r="H167" s="22" t="s">
        <v>38</v>
      </c>
      <c r="I167" s="152" t="s">
        <v>27</v>
      </c>
      <c r="J167" s="152" t="s">
        <v>27</v>
      </c>
      <c r="K167" s="152" t="s">
        <v>27</v>
      </c>
      <c r="L167" s="152" t="s">
        <v>27</v>
      </c>
      <c r="M167" s="152" t="s">
        <v>27</v>
      </c>
      <c r="N167" s="152" t="s">
        <v>27</v>
      </c>
      <c r="O167" s="152" t="s">
        <v>27</v>
      </c>
      <c r="P167" s="152" t="s">
        <v>27</v>
      </c>
      <c r="Q167" s="152" t="s">
        <v>27</v>
      </c>
      <c r="R167" s="22"/>
      <c r="S167" s="33">
        <f t="shared" si="2"/>
        <v>2023</v>
      </c>
      <c r="T167" s="153"/>
    </row>
    <row r="168" spans="1:20" x14ac:dyDescent="0.35">
      <c r="A168" s="22" t="s">
        <v>488</v>
      </c>
      <c r="B168" s="23" t="s">
        <v>489</v>
      </c>
      <c r="C168" s="11" t="s">
        <v>490</v>
      </c>
      <c r="D168" s="22" t="s">
        <v>82</v>
      </c>
      <c r="E168" s="11" t="s">
        <v>24</v>
      </c>
      <c r="F168" s="34" t="s">
        <v>25</v>
      </c>
      <c r="G168" s="34">
        <v>680000</v>
      </c>
      <c r="H168" s="22" t="s">
        <v>38</v>
      </c>
      <c r="I168" s="152" t="s">
        <v>27</v>
      </c>
      <c r="J168" s="152" t="s">
        <v>27</v>
      </c>
      <c r="K168" s="152" t="s">
        <v>27</v>
      </c>
      <c r="L168" s="152" t="s">
        <v>27</v>
      </c>
      <c r="M168" s="152" t="s">
        <v>27</v>
      </c>
      <c r="N168" s="152" t="s">
        <v>27</v>
      </c>
      <c r="O168" s="152" t="s">
        <v>27</v>
      </c>
      <c r="P168" s="152" t="s">
        <v>27</v>
      </c>
      <c r="Q168" s="152" t="s">
        <v>27</v>
      </c>
      <c r="R168" s="22"/>
      <c r="S168" s="33">
        <f t="shared" si="2"/>
        <v>2023</v>
      </c>
      <c r="T168" s="153"/>
    </row>
    <row r="169" spans="1:20" x14ac:dyDescent="0.35">
      <c r="A169" s="22" t="s">
        <v>491</v>
      </c>
      <c r="B169" s="23" t="s">
        <v>492</v>
      </c>
      <c r="C169" s="11" t="s">
        <v>203</v>
      </c>
      <c r="D169" s="22" t="s">
        <v>61</v>
      </c>
      <c r="E169" s="11" t="s">
        <v>24</v>
      </c>
      <c r="F169" s="34" t="s">
        <v>25</v>
      </c>
      <c r="G169" s="34">
        <v>1565000</v>
      </c>
      <c r="H169" s="22" t="s">
        <v>38</v>
      </c>
      <c r="I169" s="152" t="s">
        <v>27</v>
      </c>
      <c r="J169" s="152" t="s">
        <v>27</v>
      </c>
      <c r="K169" s="152" t="s">
        <v>27</v>
      </c>
      <c r="L169" s="152" t="s">
        <v>27</v>
      </c>
      <c r="M169" s="152" t="s">
        <v>27</v>
      </c>
      <c r="N169" s="152" t="s">
        <v>27</v>
      </c>
      <c r="O169" s="152" t="s">
        <v>27</v>
      </c>
      <c r="P169" s="152" t="s">
        <v>27</v>
      </c>
      <c r="Q169" s="152" t="s">
        <v>27</v>
      </c>
      <c r="R169" s="22"/>
      <c r="S169" s="33">
        <f t="shared" si="2"/>
        <v>2023</v>
      </c>
      <c r="T169" s="153"/>
    </row>
    <row r="170" spans="1:20" x14ac:dyDescent="0.35">
      <c r="A170" s="22" t="s">
        <v>493</v>
      </c>
      <c r="B170" s="23" t="s">
        <v>494</v>
      </c>
      <c r="C170" s="11" t="s">
        <v>41</v>
      </c>
      <c r="D170" s="22" t="s">
        <v>61</v>
      </c>
      <c r="E170" s="11" t="s">
        <v>43</v>
      </c>
      <c r="F170" s="34" t="s">
        <v>44</v>
      </c>
      <c r="G170" s="34">
        <v>9043016</v>
      </c>
      <c r="H170" s="22" t="s">
        <v>38</v>
      </c>
      <c r="I170" s="152" t="s">
        <v>27</v>
      </c>
      <c r="J170" s="152" t="s">
        <v>27</v>
      </c>
      <c r="K170" s="152" t="s">
        <v>27</v>
      </c>
      <c r="L170" s="152" t="s">
        <v>27</v>
      </c>
      <c r="M170" s="152" t="s">
        <v>27</v>
      </c>
      <c r="N170" s="152" t="s">
        <v>27</v>
      </c>
      <c r="O170" s="152" t="s">
        <v>27</v>
      </c>
      <c r="P170" s="152" t="s">
        <v>27</v>
      </c>
      <c r="Q170" s="152" t="s">
        <v>27</v>
      </c>
      <c r="R170" s="22"/>
      <c r="S170" s="33">
        <f t="shared" si="2"/>
        <v>2023</v>
      </c>
      <c r="T170" s="153"/>
    </row>
    <row r="171" spans="1:20" x14ac:dyDescent="0.35">
      <c r="A171" s="22" t="s">
        <v>495</v>
      </c>
      <c r="B171" s="23" t="s">
        <v>496</v>
      </c>
      <c r="C171" s="11" t="s">
        <v>497</v>
      </c>
      <c r="D171" s="22" t="s">
        <v>37</v>
      </c>
      <c r="E171" s="11" t="s">
        <v>43</v>
      </c>
      <c r="F171" s="34" t="s">
        <v>53</v>
      </c>
      <c r="G171" s="34">
        <v>256686</v>
      </c>
      <c r="H171" s="22" t="s">
        <v>38</v>
      </c>
      <c r="I171" s="152" t="s">
        <v>27</v>
      </c>
      <c r="J171" s="152" t="s">
        <v>27</v>
      </c>
      <c r="K171" s="152" t="s">
        <v>27</v>
      </c>
      <c r="L171" s="152" t="s">
        <v>27</v>
      </c>
      <c r="M171" s="152" t="s">
        <v>27</v>
      </c>
      <c r="N171" s="152" t="s">
        <v>27</v>
      </c>
      <c r="O171" s="152" t="s">
        <v>27</v>
      </c>
      <c r="P171" s="152" t="s">
        <v>27</v>
      </c>
      <c r="Q171" s="186" t="s">
        <v>27</v>
      </c>
      <c r="R171" s="187"/>
      <c r="S171" s="33">
        <f t="shared" si="2"/>
        <v>2023</v>
      </c>
      <c r="T171" s="153"/>
    </row>
    <row r="172" spans="1:20" ht="15.5" x14ac:dyDescent="0.35">
      <c r="A172" s="22" t="s">
        <v>498</v>
      </c>
      <c r="B172" s="23" t="s">
        <v>499</v>
      </c>
      <c r="C172" s="11" t="s">
        <v>41</v>
      </c>
      <c r="D172" s="22" t="s">
        <v>82</v>
      </c>
      <c r="E172" s="11" t="s">
        <v>43</v>
      </c>
      <c r="F172" s="34" t="s">
        <v>44</v>
      </c>
      <c r="G172" s="34">
        <v>9032900</v>
      </c>
      <c r="H172" s="22" t="s">
        <v>26</v>
      </c>
      <c r="I172" s="152" t="s">
        <v>27</v>
      </c>
      <c r="J172" s="155" t="s">
        <v>28</v>
      </c>
      <c r="K172" s="152"/>
      <c r="L172" s="152"/>
      <c r="M172" s="152"/>
      <c r="N172" s="152"/>
      <c r="O172" s="152"/>
      <c r="P172" s="181"/>
      <c r="Q172" s="152"/>
      <c r="R172" s="156" t="s">
        <v>500</v>
      </c>
      <c r="S172" s="184">
        <f t="shared" si="2"/>
        <v>2023</v>
      </c>
      <c r="T172" s="153">
        <v>46008</v>
      </c>
    </row>
    <row r="173" spans="1:20" x14ac:dyDescent="0.35">
      <c r="A173" s="22" t="s">
        <v>501</v>
      </c>
      <c r="B173" s="23" t="s">
        <v>502</v>
      </c>
      <c r="C173" s="11" t="s">
        <v>276</v>
      </c>
      <c r="D173" s="22" t="s">
        <v>48</v>
      </c>
      <c r="E173" s="11" t="s">
        <v>43</v>
      </c>
      <c r="F173" s="34" t="s">
        <v>25</v>
      </c>
      <c r="G173" s="34">
        <v>1609100</v>
      </c>
      <c r="H173" s="22" t="s">
        <v>38</v>
      </c>
      <c r="I173" s="152" t="s">
        <v>27</v>
      </c>
      <c r="J173" s="152" t="s">
        <v>27</v>
      </c>
      <c r="K173" s="152" t="s">
        <v>27</v>
      </c>
      <c r="L173" s="152" t="s">
        <v>27</v>
      </c>
      <c r="M173" s="152" t="s">
        <v>27</v>
      </c>
      <c r="N173" s="152" t="s">
        <v>27</v>
      </c>
      <c r="O173" s="152" t="s">
        <v>27</v>
      </c>
      <c r="P173" s="152" t="s">
        <v>27</v>
      </c>
      <c r="Q173" s="192" t="s">
        <v>27</v>
      </c>
      <c r="R173" s="193"/>
      <c r="S173" s="33">
        <f t="shared" si="2"/>
        <v>2023</v>
      </c>
      <c r="T173" s="153"/>
    </row>
    <row r="174" spans="1:20" x14ac:dyDescent="0.35">
      <c r="A174" s="22" t="s">
        <v>503</v>
      </c>
      <c r="B174" s="23" t="s">
        <v>504</v>
      </c>
      <c r="C174" s="11" t="s">
        <v>481</v>
      </c>
      <c r="D174" s="22" t="s">
        <v>23</v>
      </c>
      <c r="E174" s="11" t="s">
        <v>24</v>
      </c>
      <c r="F174" s="34" t="s">
        <v>25</v>
      </c>
      <c r="G174" s="34">
        <v>0</v>
      </c>
      <c r="H174" s="22" t="s">
        <v>26</v>
      </c>
      <c r="I174" s="157"/>
      <c r="J174" s="157"/>
      <c r="K174" s="157"/>
      <c r="L174" s="157"/>
      <c r="M174" s="157"/>
      <c r="N174" s="157"/>
      <c r="O174" s="157"/>
      <c r="P174" s="182"/>
      <c r="Q174" s="182"/>
      <c r="R174" s="22"/>
      <c r="S174" s="184">
        <f t="shared" si="2"/>
        <v>2023</v>
      </c>
      <c r="T174" s="153"/>
    </row>
    <row r="175" spans="1:20" x14ac:dyDescent="0.35">
      <c r="A175" s="22" t="s">
        <v>505</v>
      </c>
      <c r="B175" s="23" t="s">
        <v>506</v>
      </c>
      <c r="C175" s="11" t="s">
        <v>481</v>
      </c>
      <c r="D175" s="22" t="s">
        <v>23</v>
      </c>
      <c r="E175" s="11" t="s">
        <v>24</v>
      </c>
      <c r="F175" s="34" t="s">
        <v>25</v>
      </c>
      <c r="G175" s="34">
        <v>645000</v>
      </c>
      <c r="H175" s="22" t="s">
        <v>38</v>
      </c>
      <c r="I175" s="152" t="s">
        <v>27</v>
      </c>
      <c r="J175" s="152" t="s">
        <v>27</v>
      </c>
      <c r="K175" s="152" t="s">
        <v>27</v>
      </c>
      <c r="L175" s="152" t="s">
        <v>27</v>
      </c>
      <c r="M175" s="152" t="s">
        <v>27</v>
      </c>
      <c r="N175" s="152" t="s">
        <v>27</v>
      </c>
      <c r="O175" s="152" t="s">
        <v>27</v>
      </c>
      <c r="P175" s="152" t="s">
        <v>27</v>
      </c>
      <c r="Q175" s="190" t="s">
        <v>27</v>
      </c>
      <c r="R175" s="191"/>
      <c r="S175" s="33">
        <f t="shared" si="2"/>
        <v>2023</v>
      </c>
      <c r="T175" s="153"/>
    </row>
    <row r="176" spans="1:20" x14ac:dyDescent="0.35">
      <c r="A176" s="22" t="s">
        <v>507</v>
      </c>
      <c r="B176" s="23" t="s">
        <v>508</v>
      </c>
      <c r="C176" s="11" t="s">
        <v>509</v>
      </c>
      <c r="D176" s="22" t="s">
        <v>23</v>
      </c>
      <c r="E176" s="11" t="s">
        <v>24</v>
      </c>
      <c r="F176" s="34" t="s">
        <v>25</v>
      </c>
      <c r="G176" s="34">
        <v>176000</v>
      </c>
      <c r="H176" s="22" t="s">
        <v>38</v>
      </c>
      <c r="I176" s="152" t="s">
        <v>27</v>
      </c>
      <c r="J176" s="152" t="s">
        <v>27</v>
      </c>
      <c r="K176" s="152" t="s">
        <v>27</v>
      </c>
      <c r="L176" s="152" t="s">
        <v>27</v>
      </c>
      <c r="M176" s="152" t="s">
        <v>27</v>
      </c>
      <c r="N176" s="152" t="s">
        <v>27</v>
      </c>
      <c r="O176" s="152" t="s">
        <v>27</v>
      </c>
      <c r="P176" s="152" t="s">
        <v>27</v>
      </c>
      <c r="Q176" s="152" t="s">
        <v>27</v>
      </c>
      <c r="R176" s="22"/>
      <c r="S176" s="33">
        <f t="shared" si="2"/>
        <v>2023</v>
      </c>
      <c r="T176" s="153"/>
    </row>
    <row r="177" spans="1:20" x14ac:dyDescent="0.35">
      <c r="A177" s="22" t="s">
        <v>510</v>
      </c>
      <c r="B177" s="23" t="s">
        <v>511</v>
      </c>
      <c r="C177" s="11" t="s">
        <v>512</v>
      </c>
      <c r="D177" s="22" t="s">
        <v>23</v>
      </c>
      <c r="E177" s="11" t="s">
        <v>24</v>
      </c>
      <c r="F177" s="34" t="s">
        <v>25</v>
      </c>
      <c r="G177" s="34">
        <v>636250</v>
      </c>
      <c r="H177" s="22" t="s">
        <v>38</v>
      </c>
      <c r="I177" s="152" t="s">
        <v>27</v>
      </c>
      <c r="J177" s="152" t="s">
        <v>27</v>
      </c>
      <c r="K177" s="152" t="s">
        <v>27</v>
      </c>
      <c r="L177" s="152" t="s">
        <v>27</v>
      </c>
      <c r="M177" s="152" t="s">
        <v>27</v>
      </c>
      <c r="N177" s="152" t="s">
        <v>27</v>
      </c>
      <c r="O177" s="152" t="s">
        <v>27</v>
      </c>
      <c r="P177" s="152" t="s">
        <v>27</v>
      </c>
      <c r="Q177" s="152" t="s">
        <v>27</v>
      </c>
      <c r="R177" s="22"/>
      <c r="S177" s="33">
        <f t="shared" si="2"/>
        <v>2023</v>
      </c>
      <c r="T177" s="153"/>
    </row>
    <row r="178" spans="1:20" x14ac:dyDescent="0.35">
      <c r="A178" s="22" t="s">
        <v>513</v>
      </c>
      <c r="B178" s="23" t="s">
        <v>514</v>
      </c>
      <c r="C178" s="11" t="s">
        <v>515</v>
      </c>
      <c r="D178" s="22" t="s">
        <v>37</v>
      </c>
      <c r="E178" s="11" t="s">
        <v>43</v>
      </c>
      <c r="F178" s="34" t="s">
        <v>25</v>
      </c>
      <c r="G178" s="34">
        <v>12133500</v>
      </c>
      <c r="H178" s="22" t="s">
        <v>38</v>
      </c>
      <c r="I178" s="152" t="s">
        <v>27</v>
      </c>
      <c r="J178" s="152" t="s">
        <v>27</v>
      </c>
      <c r="K178" s="152" t="s">
        <v>27</v>
      </c>
      <c r="L178" s="152" t="s">
        <v>27</v>
      </c>
      <c r="M178" s="152" t="s">
        <v>27</v>
      </c>
      <c r="N178" s="152" t="s">
        <v>27</v>
      </c>
      <c r="O178" s="152" t="s">
        <v>27</v>
      </c>
      <c r="P178" s="152" t="s">
        <v>27</v>
      </c>
      <c r="Q178" s="152" t="s">
        <v>27</v>
      </c>
      <c r="R178" s="22"/>
      <c r="S178" s="33">
        <f t="shared" si="2"/>
        <v>2023</v>
      </c>
      <c r="T178" s="153"/>
    </row>
    <row r="179" spans="1:20" x14ac:dyDescent="0.35">
      <c r="A179" s="22" t="s">
        <v>516</v>
      </c>
      <c r="B179" s="23" t="s">
        <v>517</v>
      </c>
      <c r="C179" s="11" t="s">
        <v>481</v>
      </c>
      <c r="D179" s="22" t="s">
        <v>23</v>
      </c>
      <c r="E179" s="11" t="s">
        <v>24</v>
      </c>
      <c r="F179" s="34" t="s">
        <v>25</v>
      </c>
      <c r="G179" s="34">
        <v>497000</v>
      </c>
      <c r="H179" s="22" t="s">
        <v>38</v>
      </c>
      <c r="I179" s="152" t="s">
        <v>27</v>
      </c>
      <c r="J179" s="152" t="s">
        <v>27</v>
      </c>
      <c r="K179" s="152" t="s">
        <v>27</v>
      </c>
      <c r="L179" s="152" t="s">
        <v>27</v>
      </c>
      <c r="M179" s="152" t="s">
        <v>27</v>
      </c>
      <c r="N179" s="152" t="s">
        <v>27</v>
      </c>
      <c r="O179" s="152" t="s">
        <v>27</v>
      </c>
      <c r="P179" s="152" t="s">
        <v>27</v>
      </c>
      <c r="Q179" s="152" t="s">
        <v>27</v>
      </c>
      <c r="R179" s="22"/>
      <c r="S179" s="33">
        <f t="shared" si="2"/>
        <v>2023</v>
      </c>
      <c r="T179" s="153"/>
    </row>
    <row r="180" spans="1:20" x14ac:dyDescent="0.35">
      <c r="A180" s="22" t="s">
        <v>518</v>
      </c>
      <c r="B180" s="23" t="s">
        <v>519</v>
      </c>
      <c r="C180" s="11" t="s">
        <v>41</v>
      </c>
      <c r="D180" s="22" t="s">
        <v>48</v>
      </c>
      <c r="E180" s="11" t="s">
        <v>43</v>
      </c>
      <c r="F180" s="34" t="s">
        <v>44</v>
      </c>
      <c r="G180" s="34">
        <v>865000</v>
      </c>
      <c r="H180" s="22" t="s">
        <v>38</v>
      </c>
      <c r="I180" s="152" t="s">
        <v>27</v>
      </c>
      <c r="J180" s="152" t="s">
        <v>27</v>
      </c>
      <c r="K180" s="152" t="s">
        <v>27</v>
      </c>
      <c r="L180" s="152" t="s">
        <v>27</v>
      </c>
      <c r="M180" s="152" t="s">
        <v>27</v>
      </c>
      <c r="N180" s="152" t="s">
        <v>27</v>
      </c>
      <c r="O180" s="152" t="s">
        <v>27</v>
      </c>
      <c r="P180" s="152" t="s">
        <v>27</v>
      </c>
      <c r="Q180" s="152" t="s">
        <v>27</v>
      </c>
      <c r="R180" s="22"/>
      <c r="S180" s="33">
        <f t="shared" si="2"/>
        <v>2022</v>
      </c>
      <c r="T180" s="153"/>
    </row>
    <row r="181" spans="1:20" x14ac:dyDescent="0.35">
      <c r="A181" s="22" t="s">
        <v>520</v>
      </c>
      <c r="B181" s="23" t="s">
        <v>521</v>
      </c>
      <c r="C181" s="11" t="s">
        <v>41</v>
      </c>
      <c r="D181" s="22" t="s">
        <v>48</v>
      </c>
      <c r="E181" s="11" t="s">
        <v>43</v>
      </c>
      <c r="F181" s="34" t="s">
        <v>44</v>
      </c>
      <c r="G181" s="34">
        <v>460000</v>
      </c>
      <c r="H181" s="22" t="s">
        <v>38</v>
      </c>
      <c r="I181" s="152" t="s">
        <v>27</v>
      </c>
      <c r="J181" s="152" t="s">
        <v>27</v>
      </c>
      <c r="K181" s="152" t="s">
        <v>27</v>
      </c>
      <c r="L181" s="152" t="s">
        <v>27</v>
      </c>
      <c r="M181" s="152" t="s">
        <v>27</v>
      </c>
      <c r="N181" s="152" t="s">
        <v>27</v>
      </c>
      <c r="O181" s="152" t="s">
        <v>27</v>
      </c>
      <c r="P181" s="152" t="s">
        <v>27</v>
      </c>
      <c r="Q181" s="152" t="s">
        <v>27</v>
      </c>
      <c r="R181" s="22"/>
      <c r="S181" s="33">
        <f t="shared" si="2"/>
        <v>2022</v>
      </c>
      <c r="T181" s="153"/>
    </row>
    <row r="182" spans="1:20" x14ac:dyDescent="0.35">
      <c r="A182" s="22" t="s">
        <v>522</v>
      </c>
      <c r="B182" s="23" t="s">
        <v>523</v>
      </c>
      <c r="C182" s="11" t="s">
        <v>41</v>
      </c>
      <c r="D182" s="22" t="s">
        <v>48</v>
      </c>
      <c r="E182" s="11" t="s">
        <v>43</v>
      </c>
      <c r="F182" s="34" t="s">
        <v>44</v>
      </c>
      <c r="G182" s="34">
        <v>1265000</v>
      </c>
      <c r="H182" s="22" t="s">
        <v>38</v>
      </c>
      <c r="I182" s="152" t="s">
        <v>27</v>
      </c>
      <c r="J182" s="152" t="s">
        <v>27</v>
      </c>
      <c r="K182" s="152" t="s">
        <v>27</v>
      </c>
      <c r="L182" s="152" t="s">
        <v>27</v>
      </c>
      <c r="M182" s="152" t="s">
        <v>27</v>
      </c>
      <c r="N182" s="152" t="s">
        <v>27</v>
      </c>
      <c r="O182" s="152" t="s">
        <v>27</v>
      </c>
      <c r="P182" s="152" t="s">
        <v>27</v>
      </c>
      <c r="Q182" s="152" t="s">
        <v>27</v>
      </c>
      <c r="R182" s="22"/>
      <c r="S182" s="33">
        <f t="shared" si="2"/>
        <v>2022</v>
      </c>
      <c r="T182" s="153"/>
    </row>
    <row r="183" spans="1:20" x14ac:dyDescent="0.35">
      <c r="A183" s="22" t="s">
        <v>524</v>
      </c>
      <c r="B183" s="23" t="s">
        <v>525</v>
      </c>
      <c r="C183" s="11" t="s">
        <v>41</v>
      </c>
      <c r="D183" s="22" t="s">
        <v>48</v>
      </c>
      <c r="E183" s="11" t="s">
        <v>43</v>
      </c>
      <c r="F183" s="34" t="s">
        <v>44</v>
      </c>
      <c r="G183" s="34">
        <v>1127000</v>
      </c>
      <c r="H183" s="22" t="s">
        <v>38</v>
      </c>
      <c r="I183" s="152" t="s">
        <v>27</v>
      </c>
      <c r="J183" s="152" t="s">
        <v>27</v>
      </c>
      <c r="K183" s="152" t="s">
        <v>27</v>
      </c>
      <c r="L183" s="152" t="s">
        <v>27</v>
      </c>
      <c r="M183" s="152" t="s">
        <v>27</v>
      </c>
      <c r="N183" s="152" t="s">
        <v>27</v>
      </c>
      <c r="O183" s="152" t="s">
        <v>27</v>
      </c>
      <c r="P183" s="152" t="s">
        <v>27</v>
      </c>
      <c r="Q183" s="186" t="s">
        <v>27</v>
      </c>
      <c r="R183" s="187"/>
      <c r="S183" s="33">
        <f t="shared" si="2"/>
        <v>2022</v>
      </c>
      <c r="T183" s="153"/>
    </row>
    <row r="184" spans="1:20" x14ac:dyDescent="0.35">
      <c r="A184" s="22" t="s">
        <v>526</v>
      </c>
      <c r="B184" s="23" t="s">
        <v>527</v>
      </c>
      <c r="C184" s="11" t="s">
        <v>41</v>
      </c>
      <c r="D184" s="22" t="s">
        <v>23</v>
      </c>
      <c r="E184" s="11" t="s">
        <v>43</v>
      </c>
      <c r="F184" s="34" t="s">
        <v>44</v>
      </c>
      <c r="G184" s="34">
        <v>0</v>
      </c>
      <c r="H184" s="22" t="s">
        <v>26</v>
      </c>
      <c r="I184" s="157"/>
      <c r="J184" s="157"/>
      <c r="K184" s="157"/>
      <c r="L184" s="157"/>
      <c r="M184" s="157"/>
      <c r="N184" s="157"/>
      <c r="O184" s="157"/>
      <c r="P184" s="182"/>
      <c r="Q184" s="182"/>
      <c r="R184" s="22"/>
      <c r="S184" s="184">
        <f t="shared" si="2"/>
        <v>2022</v>
      </c>
      <c r="T184" s="153"/>
    </row>
    <row r="185" spans="1:20" x14ac:dyDescent="0.35">
      <c r="A185" s="22" t="s">
        <v>528</v>
      </c>
      <c r="B185" s="23" t="s">
        <v>529</v>
      </c>
      <c r="C185" s="11" t="s">
        <v>41</v>
      </c>
      <c r="D185" s="22" t="s">
        <v>23</v>
      </c>
      <c r="E185" s="11" t="s">
        <v>43</v>
      </c>
      <c r="F185" s="34" t="s">
        <v>44</v>
      </c>
      <c r="G185" s="34">
        <v>0</v>
      </c>
      <c r="H185" s="22" t="s">
        <v>26</v>
      </c>
      <c r="I185" s="157"/>
      <c r="J185" s="157"/>
      <c r="K185" s="157"/>
      <c r="L185" s="157"/>
      <c r="M185" s="157"/>
      <c r="N185" s="157"/>
      <c r="O185" s="157"/>
      <c r="P185" s="182"/>
      <c r="Q185" s="182"/>
      <c r="R185" s="22"/>
      <c r="S185" s="184">
        <f t="shared" si="2"/>
        <v>2022</v>
      </c>
      <c r="T185" s="153"/>
    </row>
    <row r="186" spans="1:20" x14ac:dyDescent="0.35">
      <c r="A186" s="22" t="s">
        <v>530</v>
      </c>
      <c r="B186" s="23" t="s">
        <v>531</v>
      </c>
      <c r="C186" s="11" t="s">
        <v>41</v>
      </c>
      <c r="D186" s="22" t="s">
        <v>37</v>
      </c>
      <c r="E186" s="11" t="s">
        <v>43</v>
      </c>
      <c r="F186" s="34" t="s">
        <v>44</v>
      </c>
      <c r="G186" s="34">
        <v>0</v>
      </c>
      <c r="H186" s="22" t="s">
        <v>26</v>
      </c>
      <c r="I186" s="157"/>
      <c r="J186" s="157"/>
      <c r="K186" s="157"/>
      <c r="L186" s="157"/>
      <c r="M186" s="157"/>
      <c r="N186" s="157"/>
      <c r="O186" s="157"/>
      <c r="P186" s="182"/>
      <c r="Q186" s="157"/>
      <c r="R186" s="191"/>
      <c r="S186" s="184">
        <f t="shared" si="2"/>
        <v>2022</v>
      </c>
      <c r="T186" s="153"/>
    </row>
    <row r="187" spans="1:20" x14ac:dyDescent="0.35">
      <c r="A187" s="22" t="s">
        <v>532</v>
      </c>
      <c r="B187" s="23" t="s">
        <v>533</v>
      </c>
      <c r="C187" s="11" t="s">
        <v>41</v>
      </c>
      <c r="D187" s="22" t="s">
        <v>37</v>
      </c>
      <c r="E187" s="11" t="s">
        <v>43</v>
      </c>
      <c r="F187" s="34" t="s">
        <v>44</v>
      </c>
      <c r="G187" s="34">
        <v>0</v>
      </c>
      <c r="H187" s="22" t="s">
        <v>26</v>
      </c>
      <c r="I187" s="157"/>
      <c r="J187" s="157"/>
      <c r="K187" s="157"/>
      <c r="L187" s="157"/>
      <c r="M187" s="157"/>
      <c r="N187" s="157"/>
      <c r="O187" s="157"/>
      <c r="P187" s="182"/>
      <c r="Q187" s="157"/>
      <c r="R187" s="22"/>
      <c r="S187" s="184">
        <f t="shared" si="2"/>
        <v>2022</v>
      </c>
      <c r="T187" s="153"/>
    </row>
    <row r="188" spans="1:20" x14ac:dyDescent="0.35">
      <c r="A188" s="22" t="s">
        <v>534</v>
      </c>
      <c r="B188" s="23" t="s">
        <v>535</v>
      </c>
      <c r="C188" s="11" t="s">
        <v>41</v>
      </c>
      <c r="D188" s="22" t="s">
        <v>23</v>
      </c>
      <c r="E188" s="11" t="s">
        <v>43</v>
      </c>
      <c r="F188" s="34" t="s">
        <v>44</v>
      </c>
      <c r="G188" s="34">
        <v>0</v>
      </c>
      <c r="H188" s="22" t="s">
        <v>26</v>
      </c>
      <c r="I188" s="157"/>
      <c r="J188" s="157"/>
      <c r="K188" s="157"/>
      <c r="L188" s="157"/>
      <c r="M188" s="157"/>
      <c r="N188" s="157"/>
      <c r="O188" s="157"/>
      <c r="P188" s="182"/>
      <c r="Q188" s="157"/>
      <c r="R188" s="22"/>
      <c r="S188" s="184">
        <f t="shared" si="2"/>
        <v>2022</v>
      </c>
      <c r="T188" s="153"/>
    </row>
    <row r="189" spans="1:20" x14ac:dyDescent="0.35">
      <c r="A189" s="22" t="s">
        <v>536</v>
      </c>
      <c r="B189" s="23" t="s">
        <v>537</v>
      </c>
      <c r="C189" s="11" t="s">
        <v>538</v>
      </c>
      <c r="D189" s="22" t="s">
        <v>42</v>
      </c>
      <c r="E189" s="11" t="s">
        <v>24</v>
      </c>
      <c r="F189" s="34" t="s">
        <v>25</v>
      </c>
      <c r="G189" s="34">
        <v>0</v>
      </c>
      <c r="H189" s="22" t="s">
        <v>26</v>
      </c>
      <c r="I189" s="157"/>
      <c r="J189" s="157"/>
      <c r="K189" s="157"/>
      <c r="L189" s="157"/>
      <c r="M189" s="157"/>
      <c r="N189" s="157"/>
      <c r="O189" s="157"/>
      <c r="P189" s="182"/>
      <c r="Q189" s="157"/>
      <c r="R189" s="22"/>
      <c r="S189" s="184">
        <f t="shared" si="2"/>
        <v>2022</v>
      </c>
      <c r="T189" s="153"/>
    </row>
    <row r="190" spans="1:20" x14ac:dyDescent="0.35">
      <c r="A190" s="22" t="s">
        <v>539</v>
      </c>
      <c r="B190" s="23" t="s">
        <v>540</v>
      </c>
      <c r="C190" s="11" t="s">
        <v>41</v>
      </c>
      <c r="D190" s="22" t="s">
        <v>61</v>
      </c>
      <c r="E190" s="11" t="s">
        <v>43</v>
      </c>
      <c r="F190" s="34" t="s">
        <v>44</v>
      </c>
      <c r="G190" s="34">
        <v>16856397</v>
      </c>
      <c r="H190" s="22" t="s">
        <v>38</v>
      </c>
      <c r="I190" s="152" t="s">
        <v>27</v>
      </c>
      <c r="J190" s="152" t="s">
        <v>27</v>
      </c>
      <c r="K190" s="152" t="s">
        <v>27</v>
      </c>
      <c r="L190" s="152" t="s">
        <v>27</v>
      </c>
      <c r="M190" s="152" t="s">
        <v>27</v>
      </c>
      <c r="N190" s="152" t="s">
        <v>27</v>
      </c>
      <c r="O190" s="152" t="s">
        <v>27</v>
      </c>
      <c r="P190" s="152" t="s">
        <v>27</v>
      </c>
      <c r="Q190" s="190" t="s">
        <v>27</v>
      </c>
      <c r="R190" s="191"/>
      <c r="S190" s="33">
        <f t="shared" si="2"/>
        <v>2022</v>
      </c>
      <c r="T190" s="153"/>
    </row>
    <row r="191" spans="1:20" x14ac:dyDescent="0.35">
      <c r="A191" s="22" t="s">
        <v>541</v>
      </c>
      <c r="B191" s="23" t="s">
        <v>542</v>
      </c>
      <c r="C191" s="11" t="s">
        <v>276</v>
      </c>
      <c r="D191" s="22" t="s">
        <v>48</v>
      </c>
      <c r="E191" s="11" t="s">
        <v>43</v>
      </c>
      <c r="F191" s="34" t="s">
        <v>44</v>
      </c>
      <c r="G191" s="34">
        <v>999875</v>
      </c>
      <c r="H191" s="22" t="s">
        <v>38</v>
      </c>
      <c r="I191" s="152" t="s">
        <v>27</v>
      </c>
      <c r="J191" s="152" t="s">
        <v>27</v>
      </c>
      <c r="K191" s="152" t="s">
        <v>27</v>
      </c>
      <c r="L191" s="152" t="s">
        <v>27</v>
      </c>
      <c r="M191" s="152" t="s">
        <v>27</v>
      </c>
      <c r="N191" s="152" t="s">
        <v>27</v>
      </c>
      <c r="O191" s="152" t="s">
        <v>27</v>
      </c>
      <c r="P191" s="152" t="s">
        <v>27</v>
      </c>
      <c r="Q191" s="152" t="s">
        <v>27</v>
      </c>
      <c r="R191" s="22"/>
      <c r="S191" s="33">
        <f t="shared" si="2"/>
        <v>2022</v>
      </c>
      <c r="T191" s="153"/>
    </row>
    <row r="192" spans="1:20" x14ac:dyDescent="0.35">
      <c r="A192" s="22" t="s">
        <v>543</v>
      </c>
      <c r="B192" s="23" t="s">
        <v>544</v>
      </c>
      <c r="C192" s="11" t="s">
        <v>545</v>
      </c>
      <c r="D192" s="22" t="s">
        <v>37</v>
      </c>
      <c r="E192" s="11" t="s">
        <v>24</v>
      </c>
      <c r="F192" s="34" t="s">
        <v>25</v>
      </c>
      <c r="G192" s="34">
        <v>180000</v>
      </c>
      <c r="H192" s="22" t="s">
        <v>38</v>
      </c>
      <c r="I192" s="152" t="s">
        <v>27</v>
      </c>
      <c r="J192" s="152" t="s">
        <v>27</v>
      </c>
      <c r="K192" s="152" t="s">
        <v>27</v>
      </c>
      <c r="L192" s="152" t="s">
        <v>27</v>
      </c>
      <c r="M192" s="152" t="s">
        <v>27</v>
      </c>
      <c r="N192" s="152" t="s">
        <v>27</v>
      </c>
      <c r="O192" s="152" t="s">
        <v>27</v>
      </c>
      <c r="P192" s="152" t="s">
        <v>27</v>
      </c>
      <c r="Q192" s="152" t="s">
        <v>27</v>
      </c>
      <c r="R192" s="22"/>
      <c r="S192" s="33">
        <f t="shared" si="2"/>
        <v>2022</v>
      </c>
      <c r="T192" s="153"/>
    </row>
    <row r="193" spans="1:20" x14ac:dyDescent="0.35">
      <c r="A193" s="22" t="s">
        <v>546</v>
      </c>
      <c r="B193" s="23" t="s">
        <v>547</v>
      </c>
      <c r="C193" s="11" t="s">
        <v>276</v>
      </c>
      <c r="D193" s="22" t="s">
        <v>48</v>
      </c>
      <c r="E193" s="11" t="s">
        <v>43</v>
      </c>
      <c r="F193" s="34" t="s">
        <v>44</v>
      </c>
      <c r="G193" s="34">
        <v>910425</v>
      </c>
      <c r="H193" s="22" t="s">
        <v>38</v>
      </c>
      <c r="I193" s="152" t="s">
        <v>27</v>
      </c>
      <c r="J193" s="152" t="s">
        <v>27</v>
      </c>
      <c r="K193" s="152" t="s">
        <v>27</v>
      </c>
      <c r="L193" s="152" t="s">
        <v>27</v>
      </c>
      <c r="M193" s="152" t="s">
        <v>27</v>
      </c>
      <c r="N193" s="152" t="s">
        <v>27</v>
      </c>
      <c r="O193" s="152" t="s">
        <v>27</v>
      </c>
      <c r="P193" s="152" t="s">
        <v>27</v>
      </c>
      <c r="Q193" s="152" t="s">
        <v>27</v>
      </c>
      <c r="R193" s="22"/>
      <c r="S193" s="33">
        <f t="shared" si="2"/>
        <v>2022</v>
      </c>
      <c r="T193" s="153"/>
    </row>
    <row r="194" spans="1:20" x14ac:dyDescent="0.35">
      <c r="A194" s="22" t="s">
        <v>548</v>
      </c>
      <c r="B194" s="23" t="s">
        <v>549</v>
      </c>
      <c r="C194" s="11" t="s">
        <v>550</v>
      </c>
      <c r="D194" s="22" t="s">
        <v>66</v>
      </c>
      <c r="E194" s="11" t="s">
        <v>24</v>
      </c>
      <c r="F194" s="34" t="s">
        <v>25</v>
      </c>
      <c r="G194" s="34">
        <f>120000+(15000*4)</f>
        <v>180000</v>
      </c>
      <c r="H194" s="22" t="s">
        <v>38</v>
      </c>
      <c r="I194" s="152" t="s">
        <v>27</v>
      </c>
      <c r="J194" s="152" t="s">
        <v>27</v>
      </c>
      <c r="K194" s="152" t="s">
        <v>27</v>
      </c>
      <c r="L194" s="152" t="s">
        <v>27</v>
      </c>
      <c r="M194" s="152" t="s">
        <v>27</v>
      </c>
      <c r="N194" s="152" t="s">
        <v>27</v>
      </c>
      <c r="O194" s="152" t="s">
        <v>27</v>
      </c>
      <c r="P194" s="152" t="s">
        <v>27</v>
      </c>
      <c r="Q194" s="186" t="s">
        <v>27</v>
      </c>
      <c r="R194" s="187"/>
      <c r="S194" s="33">
        <f t="shared" si="2"/>
        <v>2022</v>
      </c>
      <c r="T194" s="153"/>
    </row>
    <row r="195" spans="1:20" ht="15.5" x14ac:dyDescent="0.35">
      <c r="A195" s="22" t="s">
        <v>551</v>
      </c>
      <c r="B195" s="23" t="s">
        <v>552</v>
      </c>
      <c r="C195" s="11" t="s">
        <v>553</v>
      </c>
      <c r="D195" s="22" t="s">
        <v>23</v>
      </c>
      <c r="E195" s="11" t="s">
        <v>24</v>
      </c>
      <c r="F195" s="34" t="s">
        <v>25</v>
      </c>
      <c r="G195" s="34">
        <f>1092000+1278000</f>
        <v>2370000</v>
      </c>
      <c r="H195" s="22" t="s">
        <v>26</v>
      </c>
      <c r="I195" s="152" t="s">
        <v>27</v>
      </c>
      <c r="J195" s="152" t="s">
        <v>27</v>
      </c>
      <c r="K195" s="152" t="s">
        <v>27</v>
      </c>
      <c r="L195" s="152" t="s">
        <v>27</v>
      </c>
      <c r="M195" s="152" t="s">
        <v>27</v>
      </c>
      <c r="N195" s="152" t="s">
        <v>27</v>
      </c>
      <c r="O195" s="152" t="s">
        <v>27</v>
      </c>
      <c r="P195" s="183" t="s">
        <v>28</v>
      </c>
      <c r="Q195" s="152"/>
      <c r="R195" s="22" t="s">
        <v>554</v>
      </c>
      <c r="S195" s="184">
        <f t="shared" si="2"/>
        <v>2022</v>
      </c>
      <c r="T195" s="153">
        <v>45035</v>
      </c>
    </row>
    <row r="196" spans="1:20" x14ac:dyDescent="0.35">
      <c r="A196" s="22" t="s">
        <v>555</v>
      </c>
      <c r="B196" s="23" t="s">
        <v>556</v>
      </c>
      <c r="C196" s="11" t="s">
        <v>557</v>
      </c>
      <c r="D196" s="22" t="s">
        <v>42</v>
      </c>
      <c r="E196" s="11" t="s">
        <v>24</v>
      </c>
      <c r="F196" s="34" t="s">
        <v>25</v>
      </c>
      <c r="G196" s="34">
        <f>764000+19600000</f>
        <v>20364000</v>
      </c>
      <c r="H196" s="22" t="s">
        <v>38</v>
      </c>
      <c r="I196" s="152" t="s">
        <v>27</v>
      </c>
      <c r="J196" s="152" t="s">
        <v>27</v>
      </c>
      <c r="K196" s="152" t="s">
        <v>27</v>
      </c>
      <c r="L196" s="152" t="s">
        <v>27</v>
      </c>
      <c r="M196" s="152" t="s">
        <v>27</v>
      </c>
      <c r="N196" s="152" t="s">
        <v>27</v>
      </c>
      <c r="O196" s="152" t="s">
        <v>27</v>
      </c>
      <c r="P196" s="152" t="s">
        <v>27</v>
      </c>
      <c r="Q196" s="190" t="s">
        <v>27</v>
      </c>
      <c r="R196" s="191"/>
      <c r="S196" s="33">
        <f t="shared" si="2"/>
        <v>2022</v>
      </c>
      <c r="T196" s="153"/>
    </row>
    <row r="197" spans="1:20" x14ac:dyDescent="0.35">
      <c r="A197" s="22" t="s">
        <v>558</v>
      </c>
      <c r="B197" s="23" t="s">
        <v>559</v>
      </c>
      <c r="C197" s="11" t="s">
        <v>560</v>
      </c>
      <c r="D197" s="22" t="s">
        <v>37</v>
      </c>
      <c r="E197" s="11" t="s">
        <v>24</v>
      </c>
      <c r="F197" s="34" t="s">
        <v>25</v>
      </c>
      <c r="G197" s="34">
        <f>225000+11000000</f>
        <v>11225000</v>
      </c>
      <c r="H197" s="22" t="s">
        <v>38</v>
      </c>
      <c r="I197" s="152" t="s">
        <v>27</v>
      </c>
      <c r="J197" s="152" t="s">
        <v>27</v>
      </c>
      <c r="K197" s="152" t="s">
        <v>27</v>
      </c>
      <c r="L197" s="152" t="s">
        <v>27</v>
      </c>
      <c r="M197" s="152" t="s">
        <v>27</v>
      </c>
      <c r="N197" s="152" t="s">
        <v>27</v>
      </c>
      <c r="O197" s="152" t="s">
        <v>27</v>
      </c>
      <c r="P197" s="152" t="s">
        <v>27</v>
      </c>
      <c r="Q197" s="152" t="s">
        <v>27</v>
      </c>
      <c r="R197" s="22"/>
      <c r="S197" s="33">
        <f t="shared" si="2"/>
        <v>2022</v>
      </c>
      <c r="T197" s="153"/>
    </row>
    <row r="198" spans="1:20" x14ac:dyDescent="0.35">
      <c r="A198" s="22" t="s">
        <v>561</v>
      </c>
      <c r="B198" s="23" t="s">
        <v>562</v>
      </c>
      <c r="C198" s="11" t="s">
        <v>563</v>
      </c>
      <c r="D198" s="22" t="s">
        <v>37</v>
      </c>
      <c r="E198" s="11" t="s">
        <v>24</v>
      </c>
      <c r="F198" s="34" t="s">
        <v>25</v>
      </c>
      <c r="G198" s="34">
        <f>225000+11000000</f>
        <v>11225000</v>
      </c>
      <c r="H198" s="22" t="s">
        <v>38</v>
      </c>
      <c r="I198" s="152" t="s">
        <v>27</v>
      </c>
      <c r="J198" s="152" t="s">
        <v>27</v>
      </c>
      <c r="K198" s="152" t="s">
        <v>27</v>
      </c>
      <c r="L198" s="152" t="s">
        <v>27</v>
      </c>
      <c r="M198" s="152" t="s">
        <v>27</v>
      </c>
      <c r="N198" s="152" t="s">
        <v>27</v>
      </c>
      <c r="O198" s="152" t="s">
        <v>27</v>
      </c>
      <c r="P198" s="152" t="s">
        <v>27</v>
      </c>
      <c r="Q198" s="152" t="s">
        <v>27</v>
      </c>
      <c r="R198" s="22"/>
      <c r="S198" s="33">
        <f t="shared" si="2"/>
        <v>2022</v>
      </c>
      <c r="T198" s="153"/>
    </row>
    <row r="199" spans="1:20" x14ac:dyDescent="0.35">
      <c r="A199" s="22" t="s">
        <v>564</v>
      </c>
      <c r="B199" s="23" t="s">
        <v>565</v>
      </c>
      <c r="C199" s="11" t="s">
        <v>566</v>
      </c>
      <c r="D199" s="22" t="s">
        <v>23</v>
      </c>
      <c r="E199" s="11" t="s">
        <v>24</v>
      </c>
      <c r="F199" s="34" t="s">
        <v>25</v>
      </c>
      <c r="G199" s="34">
        <f>155000+3900000</f>
        <v>4055000</v>
      </c>
      <c r="H199" s="22" t="s">
        <v>38</v>
      </c>
      <c r="I199" s="152" t="s">
        <v>27</v>
      </c>
      <c r="J199" s="152" t="s">
        <v>27</v>
      </c>
      <c r="K199" s="152" t="s">
        <v>27</v>
      </c>
      <c r="L199" s="152" t="s">
        <v>27</v>
      </c>
      <c r="M199" s="152" t="s">
        <v>27</v>
      </c>
      <c r="N199" s="152" t="s">
        <v>27</v>
      </c>
      <c r="O199" s="152" t="s">
        <v>27</v>
      </c>
      <c r="P199" s="152" t="s">
        <v>27</v>
      </c>
      <c r="Q199" s="152" t="s">
        <v>27</v>
      </c>
      <c r="R199" s="22"/>
      <c r="S199" s="33">
        <f t="shared" si="2"/>
        <v>2022</v>
      </c>
      <c r="T199" s="153"/>
    </row>
    <row r="200" spans="1:20" x14ac:dyDescent="0.35">
      <c r="A200" s="22" t="s">
        <v>567</v>
      </c>
      <c r="B200" s="23" t="s">
        <v>568</v>
      </c>
      <c r="C200" s="11" t="s">
        <v>569</v>
      </c>
      <c r="D200" s="22" t="s">
        <v>37</v>
      </c>
      <c r="E200" s="11" t="s">
        <v>24</v>
      </c>
      <c r="F200" s="34" t="s">
        <v>25</v>
      </c>
      <c r="G200" s="34">
        <f>1210000+24500000+50000</f>
        <v>25760000</v>
      </c>
      <c r="H200" s="22" t="s">
        <v>38</v>
      </c>
      <c r="I200" s="152" t="s">
        <v>27</v>
      </c>
      <c r="J200" s="152" t="s">
        <v>27</v>
      </c>
      <c r="K200" s="152" t="s">
        <v>27</v>
      </c>
      <c r="L200" s="152" t="s">
        <v>27</v>
      </c>
      <c r="M200" s="152" t="s">
        <v>27</v>
      </c>
      <c r="N200" s="152" t="s">
        <v>27</v>
      </c>
      <c r="O200" s="152" t="s">
        <v>27</v>
      </c>
      <c r="P200" s="152" t="s">
        <v>27</v>
      </c>
      <c r="Q200" s="152" t="s">
        <v>27</v>
      </c>
      <c r="R200" s="22"/>
      <c r="S200" s="33">
        <f t="shared" si="2"/>
        <v>2022</v>
      </c>
      <c r="T200" s="153"/>
    </row>
    <row r="201" spans="1:20" x14ac:dyDescent="0.35">
      <c r="A201" s="22" t="s">
        <v>570</v>
      </c>
      <c r="B201" s="23" t="s">
        <v>571</v>
      </c>
      <c r="C201" s="11" t="s">
        <v>572</v>
      </c>
      <c r="D201" s="22" t="s">
        <v>42</v>
      </c>
      <c r="E201" s="11" t="s">
        <v>24</v>
      </c>
      <c r="F201" s="34" t="s">
        <v>25</v>
      </c>
      <c r="G201" s="34">
        <v>80000</v>
      </c>
      <c r="H201" s="22" t="s">
        <v>38</v>
      </c>
      <c r="I201" s="152" t="s">
        <v>27</v>
      </c>
      <c r="J201" s="152" t="s">
        <v>27</v>
      </c>
      <c r="K201" s="152" t="s">
        <v>27</v>
      </c>
      <c r="L201" s="152" t="s">
        <v>27</v>
      </c>
      <c r="M201" s="152" t="s">
        <v>27</v>
      </c>
      <c r="N201" s="152" t="s">
        <v>27</v>
      </c>
      <c r="O201" s="152" t="s">
        <v>27</v>
      </c>
      <c r="P201" s="152" t="s">
        <v>27</v>
      </c>
      <c r="Q201" s="152" t="s">
        <v>27</v>
      </c>
      <c r="R201" s="22"/>
      <c r="S201" s="33">
        <f t="shared" si="2"/>
        <v>2022</v>
      </c>
      <c r="T201" s="153"/>
    </row>
    <row r="202" spans="1:20" x14ac:dyDescent="0.35">
      <c r="A202" s="22" t="s">
        <v>573</v>
      </c>
      <c r="B202" s="23" t="s">
        <v>574</v>
      </c>
      <c r="C202" s="11" t="s">
        <v>575</v>
      </c>
      <c r="D202" s="22" t="s">
        <v>23</v>
      </c>
      <c r="E202" s="11" t="s">
        <v>24</v>
      </c>
      <c r="F202" s="34" t="s">
        <v>25</v>
      </c>
      <c r="G202" s="34">
        <v>350000</v>
      </c>
      <c r="H202" s="22" t="s">
        <v>38</v>
      </c>
      <c r="I202" s="152" t="s">
        <v>27</v>
      </c>
      <c r="J202" s="152" t="s">
        <v>27</v>
      </c>
      <c r="K202" s="152" t="s">
        <v>27</v>
      </c>
      <c r="L202" s="152" t="s">
        <v>27</v>
      </c>
      <c r="M202" s="152" t="s">
        <v>27</v>
      </c>
      <c r="N202" s="152" t="s">
        <v>27</v>
      </c>
      <c r="O202" s="152" t="s">
        <v>27</v>
      </c>
      <c r="P202" s="152" t="s">
        <v>27</v>
      </c>
      <c r="Q202" s="152" t="s">
        <v>27</v>
      </c>
      <c r="R202" s="22"/>
      <c r="S202" s="33">
        <f t="shared" ref="S202:S228" si="3">IFERROR(2000+VALUE(LEFT(A202,2)),"")</f>
        <v>2022</v>
      </c>
      <c r="T202" s="153"/>
    </row>
    <row r="203" spans="1:20" x14ac:dyDescent="0.35">
      <c r="A203" s="22" t="s">
        <v>576</v>
      </c>
      <c r="B203" s="23" t="s">
        <v>577</v>
      </c>
      <c r="C203" s="11" t="s">
        <v>578</v>
      </c>
      <c r="D203" s="22" t="s">
        <v>42</v>
      </c>
      <c r="E203" s="11" t="s">
        <v>43</v>
      </c>
      <c r="F203" s="34" t="s">
        <v>44</v>
      </c>
      <c r="G203" s="34">
        <v>11896611.98</v>
      </c>
      <c r="H203" s="22" t="s">
        <v>38</v>
      </c>
      <c r="I203" s="152" t="s">
        <v>27</v>
      </c>
      <c r="J203" s="152" t="s">
        <v>27</v>
      </c>
      <c r="K203" s="152" t="s">
        <v>27</v>
      </c>
      <c r="L203" s="152" t="s">
        <v>27</v>
      </c>
      <c r="M203" s="152" t="s">
        <v>27</v>
      </c>
      <c r="N203" s="152" t="s">
        <v>27</v>
      </c>
      <c r="O203" s="152" t="s">
        <v>27</v>
      </c>
      <c r="P203" s="152" t="s">
        <v>27</v>
      </c>
      <c r="Q203" s="152" t="s">
        <v>27</v>
      </c>
      <c r="R203" s="22"/>
      <c r="S203" s="33">
        <f t="shared" si="3"/>
        <v>2022</v>
      </c>
      <c r="T203" s="153"/>
    </row>
    <row r="204" spans="1:20" x14ac:dyDescent="0.35">
      <c r="A204" s="22" t="s">
        <v>579</v>
      </c>
      <c r="B204" s="23" t="s">
        <v>580</v>
      </c>
      <c r="C204" s="11" t="s">
        <v>581</v>
      </c>
      <c r="D204" s="22" t="s">
        <v>42</v>
      </c>
      <c r="E204" s="11" t="s">
        <v>43</v>
      </c>
      <c r="F204" s="34" t="s">
        <v>44</v>
      </c>
      <c r="G204" s="34">
        <v>31168507.989999998</v>
      </c>
      <c r="H204" s="22" t="s">
        <v>38</v>
      </c>
      <c r="I204" s="152" t="s">
        <v>27</v>
      </c>
      <c r="J204" s="152" t="s">
        <v>27</v>
      </c>
      <c r="K204" s="152" t="s">
        <v>27</v>
      </c>
      <c r="L204" s="152" t="s">
        <v>27</v>
      </c>
      <c r="M204" s="152" t="s">
        <v>27</v>
      </c>
      <c r="N204" s="152" t="s">
        <v>27</v>
      </c>
      <c r="O204" s="152" t="s">
        <v>27</v>
      </c>
      <c r="P204" s="152" t="s">
        <v>27</v>
      </c>
      <c r="Q204" s="152" t="s">
        <v>27</v>
      </c>
      <c r="R204" s="22"/>
      <c r="S204" s="33">
        <f t="shared" si="3"/>
        <v>2022</v>
      </c>
      <c r="T204" s="153"/>
    </row>
    <row r="205" spans="1:20" x14ac:dyDescent="0.35">
      <c r="A205" s="22" t="s">
        <v>582</v>
      </c>
      <c r="B205" s="23" t="s">
        <v>583</v>
      </c>
      <c r="C205" s="11" t="s">
        <v>584</v>
      </c>
      <c r="D205" s="22" t="s">
        <v>23</v>
      </c>
      <c r="E205" s="11" t="s">
        <v>43</v>
      </c>
      <c r="F205" s="34" t="s">
        <v>44</v>
      </c>
      <c r="G205" s="34">
        <f>25000+170000+105000</f>
        <v>300000</v>
      </c>
      <c r="H205" s="22" t="s">
        <v>38</v>
      </c>
      <c r="I205" s="152" t="s">
        <v>27</v>
      </c>
      <c r="J205" s="152" t="s">
        <v>27</v>
      </c>
      <c r="K205" s="152" t="s">
        <v>27</v>
      </c>
      <c r="L205" s="152" t="s">
        <v>27</v>
      </c>
      <c r="M205" s="152" t="s">
        <v>27</v>
      </c>
      <c r="N205" s="152" t="s">
        <v>27</v>
      </c>
      <c r="O205" s="152" t="s">
        <v>27</v>
      </c>
      <c r="P205" s="152" t="s">
        <v>27</v>
      </c>
      <c r="Q205" s="152" t="s">
        <v>27</v>
      </c>
      <c r="R205" s="22"/>
      <c r="S205" s="33">
        <f t="shared" si="3"/>
        <v>2022</v>
      </c>
      <c r="T205" s="153"/>
    </row>
    <row r="206" spans="1:20" x14ac:dyDescent="0.35">
      <c r="A206" s="22" t="s">
        <v>585</v>
      </c>
      <c r="B206" s="23" t="s">
        <v>586</v>
      </c>
      <c r="C206" s="11" t="s">
        <v>587</v>
      </c>
      <c r="D206" s="22" t="s">
        <v>48</v>
      </c>
      <c r="E206" s="11" t="s">
        <v>24</v>
      </c>
      <c r="F206" s="34" t="s">
        <v>25</v>
      </c>
      <c r="G206" s="34">
        <f>2500000+600000+150000+6151470+211680</f>
        <v>9613150</v>
      </c>
      <c r="H206" s="22" t="s">
        <v>38</v>
      </c>
      <c r="I206" s="152" t="s">
        <v>27</v>
      </c>
      <c r="J206" s="152" t="s">
        <v>27</v>
      </c>
      <c r="K206" s="152" t="s">
        <v>27</v>
      </c>
      <c r="L206" s="152" t="s">
        <v>27</v>
      </c>
      <c r="M206" s="152" t="s">
        <v>27</v>
      </c>
      <c r="N206" s="152" t="s">
        <v>27</v>
      </c>
      <c r="O206" s="152" t="s">
        <v>27</v>
      </c>
      <c r="P206" s="152" t="s">
        <v>27</v>
      </c>
      <c r="Q206" s="152" t="s">
        <v>27</v>
      </c>
      <c r="R206" s="22"/>
      <c r="S206" s="33">
        <f t="shared" si="3"/>
        <v>2022</v>
      </c>
      <c r="T206" s="153"/>
    </row>
    <row r="207" spans="1:20" x14ac:dyDescent="0.35">
      <c r="A207" s="22" t="s">
        <v>588</v>
      </c>
      <c r="B207" s="23" t="s">
        <v>589</v>
      </c>
      <c r="C207" s="11" t="s">
        <v>590</v>
      </c>
      <c r="D207" s="22" t="s">
        <v>48</v>
      </c>
      <c r="E207" s="11" t="s">
        <v>43</v>
      </c>
      <c r="F207" s="34" t="s">
        <v>44</v>
      </c>
      <c r="G207" s="34">
        <v>910000</v>
      </c>
      <c r="H207" s="22" t="s">
        <v>38</v>
      </c>
      <c r="I207" s="152" t="s">
        <v>27</v>
      </c>
      <c r="J207" s="152" t="s">
        <v>27</v>
      </c>
      <c r="K207" s="152" t="s">
        <v>27</v>
      </c>
      <c r="L207" s="152" t="s">
        <v>27</v>
      </c>
      <c r="M207" s="152" t="s">
        <v>27</v>
      </c>
      <c r="N207" s="152" t="s">
        <v>27</v>
      </c>
      <c r="O207" s="152" t="s">
        <v>27</v>
      </c>
      <c r="P207" s="152" t="s">
        <v>27</v>
      </c>
      <c r="Q207" s="152" t="s">
        <v>27</v>
      </c>
      <c r="R207" s="22"/>
      <c r="S207" s="33">
        <f t="shared" si="3"/>
        <v>2022</v>
      </c>
      <c r="T207" s="153"/>
    </row>
    <row r="208" spans="1:20" x14ac:dyDescent="0.35">
      <c r="A208" s="22" t="s">
        <v>591</v>
      </c>
      <c r="B208" s="23" t="s">
        <v>592</v>
      </c>
      <c r="C208" s="11" t="s">
        <v>593</v>
      </c>
      <c r="D208" s="22" t="s">
        <v>23</v>
      </c>
      <c r="E208" s="11" t="s">
        <v>24</v>
      </c>
      <c r="F208" s="34" t="s">
        <v>25</v>
      </c>
      <c r="G208" s="34">
        <f>200000+10500000</f>
        <v>10700000</v>
      </c>
      <c r="H208" s="22" t="s">
        <v>38</v>
      </c>
      <c r="I208" s="152" t="s">
        <v>27</v>
      </c>
      <c r="J208" s="152" t="s">
        <v>27</v>
      </c>
      <c r="K208" s="152" t="s">
        <v>27</v>
      </c>
      <c r="L208" s="152" t="s">
        <v>27</v>
      </c>
      <c r="M208" s="152" t="s">
        <v>27</v>
      </c>
      <c r="N208" s="152" t="s">
        <v>27</v>
      </c>
      <c r="O208" s="152" t="s">
        <v>27</v>
      </c>
      <c r="P208" s="152" t="s">
        <v>27</v>
      </c>
      <c r="Q208" s="152" t="s">
        <v>27</v>
      </c>
      <c r="R208" s="22"/>
      <c r="S208" s="33">
        <f t="shared" si="3"/>
        <v>2022</v>
      </c>
      <c r="T208" s="153"/>
    </row>
    <row r="209" spans="1:20" x14ac:dyDescent="0.35">
      <c r="A209" s="22" t="s">
        <v>594</v>
      </c>
      <c r="B209" s="23" t="s">
        <v>595</v>
      </c>
      <c r="C209" s="11" t="s">
        <v>596</v>
      </c>
      <c r="D209" s="22" t="s">
        <v>37</v>
      </c>
      <c r="E209" s="11" t="s">
        <v>24</v>
      </c>
      <c r="F209" s="34" t="s">
        <v>25</v>
      </c>
      <c r="G209" s="34">
        <f>371000+70000+270000+15000</f>
        <v>726000</v>
      </c>
      <c r="H209" s="22" t="s">
        <v>38</v>
      </c>
      <c r="I209" s="152" t="s">
        <v>27</v>
      </c>
      <c r="J209" s="152" t="s">
        <v>27</v>
      </c>
      <c r="K209" s="152" t="s">
        <v>27</v>
      </c>
      <c r="L209" s="152" t="s">
        <v>27</v>
      </c>
      <c r="M209" s="152" t="s">
        <v>27</v>
      </c>
      <c r="N209" s="152" t="s">
        <v>27</v>
      </c>
      <c r="O209" s="152" t="s">
        <v>27</v>
      </c>
      <c r="P209" s="152" t="s">
        <v>27</v>
      </c>
      <c r="Q209" s="152" t="s">
        <v>27</v>
      </c>
      <c r="R209" s="22"/>
      <c r="S209" s="33">
        <f t="shared" si="3"/>
        <v>2022</v>
      </c>
      <c r="T209" s="153"/>
    </row>
    <row r="210" spans="1:20" x14ac:dyDescent="0.35">
      <c r="A210" s="22" t="s">
        <v>597</v>
      </c>
      <c r="B210" s="23" t="s">
        <v>598</v>
      </c>
      <c r="C210" s="11" t="s">
        <v>459</v>
      </c>
      <c r="D210" s="22" t="s">
        <v>48</v>
      </c>
      <c r="E210" s="11" t="s">
        <v>24</v>
      </c>
      <c r="F210" s="34" t="s">
        <v>25</v>
      </c>
      <c r="G210" s="34">
        <f>2392000+5294365+192240</f>
        <v>7878605</v>
      </c>
      <c r="H210" s="22" t="s">
        <v>38</v>
      </c>
      <c r="I210" s="152" t="s">
        <v>27</v>
      </c>
      <c r="J210" s="152" t="s">
        <v>27</v>
      </c>
      <c r="K210" s="152" t="s">
        <v>27</v>
      </c>
      <c r="L210" s="152" t="s">
        <v>27</v>
      </c>
      <c r="M210" s="152" t="s">
        <v>27</v>
      </c>
      <c r="N210" s="152" t="s">
        <v>27</v>
      </c>
      <c r="O210" s="152" t="s">
        <v>27</v>
      </c>
      <c r="P210" s="152" t="s">
        <v>27</v>
      </c>
      <c r="Q210" s="152" t="s">
        <v>27</v>
      </c>
      <c r="R210" s="22"/>
      <c r="S210" s="33">
        <f t="shared" si="3"/>
        <v>2022</v>
      </c>
      <c r="T210" s="153"/>
    </row>
    <row r="211" spans="1:20" x14ac:dyDescent="0.35">
      <c r="A211" s="22" t="s">
        <v>599</v>
      </c>
      <c r="B211" s="23" t="s">
        <v>600</v>
      </c>
      <c r="C211" s="11" t="s">
        <v>276</v>
      </c>
      <c r="D211" s="22" t="s">
        <v>82</v>
      </c>
      <c r="E211" s="11" t="s">
        <v>43</v>
      </c>
      <c r="F211" s="34" t="s">
        <v>44</v>
      </c>
      <c r="G211" s="34">
        <v>5800000</v>
      </c>
      <c r="H211" s="22" t="s">
        <v>38</v>
      </c>
      <c r="I211" s="152" t="s">
        <v>27</v>
      </c>
      <c r="J211" s="152" t="s">
        <v>27</v>
      </c>
      <c r="K211" s="152" t="s">
        <v>27</v>
      </c>
      <c r="L211" s="152" t="s">
        <v>27</v>
      </c>
      <c r="M211" s="152" t="s">
        <v>27</v>
      </c>
      <c r="N211" s="152" t="s">
        <v>27</v>
      </c>
      <c r="O211" s="152" t="s">
        <v>27</v>
      </c>
      <c r="P211" s="152" t="s">
        <v>27</v>
      </c>
      <c r="Q211" s="152" t="s">
        <v>27</v>
      </c>
      <c r="R211" s="22"/>
      <c r="S211" s="33">
        <f t="shared" si="3"/>
        <v>2022</v>
      </c>
      <c r="T211" s="153"/>
    </row>
    <row r="212" spans="1:20" x14ac:dyDescent="0.35">
      <c r="A212" s="22" t="s">
        <v>601</v>
      </c>
      <c r="B212" s="23" t="s">
        <v>602</v>
      </c>
      <c r="C212" s="11" t="s">
        <v>590</v>
      </c>
      <c r="D212" s="22" t="s">
        <v>48</v>
      </c>
      <c r="E212" s="11" t="s">
        <v>43</v>
      </c>
      <c r="F212" s="34" t="s">
        <v>25</v>
      </c>
      <c r="G212" s="34">
        <v>661000</v>
      </c>
      <c r="H212" s="22" t="s">
        <v>38</v>
      </c>
      <c r="I212" s="152" t="s">
        <v>27</v>
      </c>
      <c r="J212" s="152" t="s">
        <v>27</v>
      </c>
      <c r="K212" s="152" t="s">
        <v>27</v>
      </c>
      <c r="L212" s="152" t="s">
        <v>27</v>
      </c>
      <c r="M212" s="152" t="s">
        <v>27</v>
      </c>
      <c r="N212" s="152" t="s">
        <v>27</v>
      </c>
      <c r="O212" s="152" t="s">
        <v>27</v>
      </c>
      <c r="P212" s="152" t="s">
        <v>27</v>
      </c>
      <c r="Q212" s="186" t="s">
        <v>27</v>
      </c>
      <c r="R212" s="187"/>
      <c r="S212" s="33">
        <f t="shared" si="3"/>
        <v>2022</v>
      </c>
      <c r="T212" s="153"/>
    </row>
    <row r="213" spans="1:20" x14ac:dyDescent="0.35">
      <c r="A213" s="22" t="s">
        <v>603</v>
      </c>
      <c r="B213" s="23" t="s">
        <v>604</v>
      </c>
      <c r="C213" s="11" t="s">
        <v>605</v>
      </c>
      <c r="D213" s="22" t="s">
        <v>42</v>
      </c>
      <c r="E213" s="11" t="s">
        <v>24</v>
      </c>
      <c r="F213" s="34" t="s">
        <v>25</v>
      </c>
      <c r="G213" s="34">
        <v>0</v>
      </c>
      <c r="H213" s="22" t="s">
        <v>26</v>
      </c>
      <c r="I213" s="157"/>
      <c r="J213" s="157"/>
      <c r="K213" s="157"/>
      <c r="L213" s="157"/>
      <c r="M213" s="157"/>
      <c r="N213" s="157"/>
      <c r="O213" s="157"/>
      <c r="P213" s="182"/>
      <c r="Q213" s="157"/>
      <c r="R213" s="22"/>
      <c r="S213" s="184">
        <f t="shared" si="3"/>
        <v>2022</v>
      </c>
      <c r="T213" s="153"/>
    </row>
    <row r="214" spans="1:20" x14ac:dyDescent="0.35">
      <c r="A214" s="22" t="s">
        <v>606</v>
      </c>
      <c r="B214" s="23" t="s">
        <v>607</v>
      </c>
      <c r="C214" s="11" t="s">
        <v>608</v>
      </c>
      <c r="D214" s="22" t="s">
        <v>37</v>
      </c>
      <c r="E214" s="11" t="s">
        <v>24</v>
      </c>
      <c r="F214" s="34" t="s">
        <v>25</v>
      </c>
      <c r="G214" s="34">
        <v>100000</v>
      </c>
      <c r="H214" s="22" t="s">
        <v>38</v>
      </c>
      <c r="I214" s="152" t="s">
        <v>27</v>
      </c>
      <c r="J214" s="152" t="s">
        <v>27</v>
      </c>
      <c r="K214" s="152" t="s">
        <v>27</v>
      </c>
      <c r="L214" s="152" t="s">
        <v>27</v>
      </c>
      <c r="M214" s="152" t="s">
        <v>27</v>
      </c>
      <c r="N214" s="152" t="s">
        <v>27</v>
      </c>
      <c r="O214" s="152" t="s">
        <v>27</v>
      </c>
      <c r="P214" s="152" t="s">
        <v>27</v>
      </c>
      <c r="Q214" s="192" t="s">
        <v>27</v>
      </c>
      <c r="R214" s="193"/>
      <c r="S214" s="33">
        <f t="shared" si="3"/>
        <v>2022</v>
      </c>
      <c r="T214" s="153"/>
    </row>
    <row r="215" spans="1:20" ht="15.5" x14ac:dyDescent="0.35">
      <c r="A215" s="22" t="s">
        <v>609</v>
      </c>
      <c r="B215" s="23" t="s">
        <v>610</v>
      </c>
      <c r="C215" s="11" t="s">
        <v>611</v>
      </c>
      <c r="D215" s="22" t="s">
        <v>48</v>
      </c>
      <c r="E215" s="11" t="s">
        <v>43</v>
      </c>
      <c r="F215" s="34" t="s">
        <v>44</v>
      </c>
      <c r="G215" s="34">
        <v>0</v>
      </c>
      <c r="H215" s="22" t="s">
        <v>26</v>
      </c>
      <c r="I215" s="157"/>
      <c r="J215" s="158"/>
      <c r="K215" s="157"/>
      <c r="L215" s="157"/>
      <c r="M215" s="157"/>
      <c r="N215" s="157"/>
      <c r="O215" s="157"/>
      <c r="P215" s="182"/>
      <c r="Q215" s="157"/>
      <c r="R215" s="22"/>
      <c r="S215" s="184">
        <f t="shared" si="3"/>
        <v>2022</v>
      </c>
      <c r="T215" s="153"/>
    </row>
    <row r="216" spans="1:20" x14ac:dyDescent="0.35">
      <c r="A216" s="22" t="s">
        <v>612</v>
      </c>
      <c r="B216" s="23" t="s">
        <v>613</v>
      </c>
      <c r="C216" s="11" t="s">
        <v>614</v>
      </c>
      <c r="D216" s="22" t="s">
        <v>66</v>
      </c>
      <c r="E216" s="11" t="s">
        <v>43</v>
      </c>
      <c r="F216" s="34" t="s">
        <v>44</v>
      </c>
      <c r="G216" s="34">
        <v>200000</v>
      </c>
      <c r="H216" s="22" t="s">
        <v>38</v>
      </c>
      <c r="I216" s="152" t="s">
        <v>27</v>
      </c>
      <c r="J216" s="152" t="s">
        <v>27</v>
      </c>
      <c r="K216" s="152" t="s">
        <v>27</v>
      </c>
      <c r="L216" s="152" t="s">
        <v>27</v>
      </c>
      <c r="M216" s="152" t="s">
        <v>27</v>
      </c>
      <c r="N216" s="152" t="s">
        <v>27</v>
      </c>
      <c r="O216" s="152" t="s">
        <v>27</v>
      </c>
      <c r="P216" s="152" t="s">
        <v>27</v>
      </c>
      <c r="Q216" s="192" t="s">
        <v>27</v>
      </c>
      <c r="R216" s="193" t="s">
        <v>615</v>
      </c>
      <c r="S216" s="33">
        <f t="shared" si="3"/>
        <v>2022</v>
      </c>
      <c r="T216" s="153"/>
    </row>
    <row r="217" spans="1:20" x14ac:dyDescent="0.35">
      <c r="A217" s="22" t="s">
        <v>616</v>
      </c>
      <c r="B217" s="23" t="s">
        <v>617</v>
      </c>
      <c r="C217" s="11" t="s">
        <v>618</v>
      </c>
      <c r="D217" s="22" t="s">
        <v>42</v>
      </c>
      <c r="E217" s="11" t="s">
        <v>24</v>
      </c>
      <c r="F217" s="34" t="s">
        <v>25</v>
      </c>
      <c r="G217" s="34">
        <v>0</v>
      </c>
      <c r="H217" s="22" t="s">
        <v>26</v>
      </c>
      <c r="I217" s="157"/>
      <c r="J217" s="157"/>
      <c r="K217" s="157"/>
      <c r="L217" s="157"/>
      <c r="M217" s="157"/>
      <c r="N217" s="157"/>
      <c r="O217" s="157"/>
      <c r="P217" s="182"/>
      <c r="Q217" s="157"/>
      <c r="R217" s="22"/>
      <c r="S217" s="184">
        <f t="shared" si="3"/>
        <v>2022</v>
      </c>
      <c r="T217" s="153"/>
    </row>
    <row r="218" spans="1:20" x14ac:dyDescent="0.35">
      <c r="A218" s="22" t="s">
        <v>619</v>
      </c>
      <c r="B218" s="23" t="s">
        <v>620</v>
      </c>
      <c r="C218" s="11" t="s">
        <v>590</v>
      </c>
      <c r="D218" s="22" t="s">
        <v>23</v>
      </c>
      <c r="E218" s="11" t="s">
        <v>43</v>
      </c>
      <c r="F218" s="34" t="s">
        <v>44</v>
      </c>
      <c r="G218" s="34">
        <v>150000</v>
      </c>
      <c r="H218" s="22" t="s">
        <v>38</v>
      </c>
      <c r="I218" s="152" t="s">
        <v>27</v>
      </c>
      <c r="J218" s="152" t="s">
        <v>27</v>
      </c>
      <c r="K218" s="152" t="s">
        <v>27</v>
      </c>
      <c r="L218" s="152" t="s">
        <v>27</v>
      </c>
      <c r="M218" s="152" t="s">
        <v>27</v>
      </c>
      <c r="N218" s="152" t="s">
        <v>27</v>
      </c>
      <c r="O218" s="152" t="s">
        <v>27</v>
      </c>
      <c r="P218" s="152" t="s">
        <v>27</v>
      </c>
      <c r="Q218" s="190" t="s">
        <v>27</v>
      </c>
      <c r="R218" s="191"/>
      <c r="S218" s="33">
        <f t="shared" si="3"/>
        <v>2022</v>
      </c>
      <c r="T218" s="153"/>
    </row>
    <row r="219" spans="1:20" ht="14.5" customHeight="1" x14ac:dyDescent="0.35">
      <c r="A219" s="22" t="s">
        <v>621</v>
      </c>
      <c r="B219" s="23" t="s">
        <v>622</v>
      </c>
      <c r="C219" s="11" t="s">
        <v>623</v>
      </c>
      <c r="D219" s="22" t="s">
        <v>23</v>
      </c>
      <c r="E219" s="11" t="s">
        <v>76</v>
      </c>
      <c r="F219" s="34" t="s">
        <v>77</v>
      </c>
      <c r="G219" s="34">
        <f>500000+750000+150000</f>
        <v>1400000</v>
      </c>
      <c r="H219" s="22" t="s">
        <v>38</v>
      </c>
      <c r="I219" s="152" t="s">
        <v>27</v>
      </c>
      <c r="J219" s="152" t="s">
        <v>27</v>
      </c>
      <c r="K219" s="152" t="s">
        <v>27</v>
      </c>
      <c r="L219" s="152" t="s">
        <v>27</v>
      </c>
      <c r="M219" s="152" t="s">
        <v>27</v>
      </c>
      <c r="N219" s="152" t="s">
        <v>27</v>
      </c>
      <c r="O219" s="152" t="s">
        <v>27</v>
      </c>
      <c r="P219" s="152" t="s">
        <v>27</v>
      </c>
      <c r="Q219" s="152" t="s">
        <v>27</v>
      </c>
      <c r="R219" s="22"/>
      <c r="S219" s="33">
        <f t="shared" si="3"/>
        <v>2022</v>
      </c>
      <c r="T219" s="153"/>
    </row>
    <row r="220" spans="1:20" x14ac:dyDescent="0.35">
      <c r="A220" s="22" t="s">
        <v>624</v>
      </c>
      <c r="B220" s="23" t="s">
        <v>625</v>
      </c>
      <c r="C220" s="11" t="s">
        <v>626</v>
      </c>
      <c r="D220" s="22" t="s">
        <v>37</v>
      </c>
      <c r="E220" s="11" t="s">
        <v>24</v>
      </c>
      <c r="F220" s="34" t="s">
        <v>25</v>
      </c>
      <c r="G220" s="34">
        <v>350000</v>
      </c>
      <c r="H220" s="22" t="s">
        <v>38</v>
      </c>
      <c r="I220" s="152" t="s">
        <v>27</v>
      </c>
      <c r="J220" s="152" t="s">
        <v>27</v>
      </c>
      <c r="K220" s="152" t="s">
        <v>27</v>
      </c>
      <c r="L220" s="152" t="s">
        <v>27</v>
      </c>
      <c r="M220" s="152" t="s">
        <v>27</v>
      </c>
      <c r="N220" s="152" t="s">
        <v>27</v>
      </c>
      <c r="O220" s="152" t="s">
        <v>27</v>
      </c>
      <c r="P220" s="152" t="s">
        <v>27</v>
      </c>
      <c r="Q220" s="186" t="s">
        <v>27</v>
      </c>
      <c r="R220" s="187"/>
      <c r="S220" s="33">
        <f t="shared" si="3"/>
        <v>2022</v>
      </c>
      <c r="T220" s="153"/>
    </row>
    <row r="221" spans="1:20" x14ac:dyDescent="0.35">
      <c r="A221" s="22" t="s">
        <v>627</v>
      </c>
      <c r="B221" s="23" t="s">
        <v>628</v>
      </c>
      <c r="C221" s="11" t="s">
        <v>629</v>
      </c>
      <c r="D221" s="22" t="s">
        <v>23</v>
      </c>
      <c r="E221" s="11" t="s">
        <v>24</v>
      </c>
      <c r="F221" s="34" t="s">
        <v>25</v>
      </c>
      <c r="G221" s="34">
        <v>0</v>
      </c>
      <c r="H221" s="22" t="s">
        <v>26</v>
      </c>
      <c r="I221" s="157"/>
      <c r="J221" s="157"/>
      <c r="K221" s="157"/>
      <c r="L221" s="157"/>
      <c r="M221" s="157"/>
      <c r="N221" s="157"/>
      <c r="O221" s="157"/>
      <c r="P221" s="182"/>
      <c r="Q221" s="157"/>
      <c r="R221" s="22"/>
      <c r="S221" s="184">
        <f t="shared" si="3"/>
        <v>2022</v>
      </c>
      <c r="T221" s="153"/>
    </row>
    <row r="222" spans="1:20" x14ac:dyDescent="0.35">
      <c r="A222" s="22" t="s">
        <v>630</v>
      </c>
      <c r="B222" s="23" t="s">
        <v>631</v>
      </c>
      <c r="C222" s="11" t="s">
        <v>366</v>
      </c>
      <c r="D222" s="22" t="s">
        <v>37</v>
      </c>
      <c r="E222" s="11" t="s">
        <v>24</v>
      </c>
      <c r="F222" s="34" t="s">
        <v>25</v>
      </c>
      <c r="G222" s="34">
        <v>504000</v>
      </c>
      <c r="H222" s="22" t="s">
        <v>38</v>
      </c>
      <c r="I222" s="152" t="s">
        <v>27</v>
      </c>
      <c r="J222" s="152" t="s">
        <v>27</v>
      </c>
      <c r="K222" s="152" t="s">
        <v>27</v>
      </c>
      <c r="L222" s="152" t="s">
        <v>27</v>
      </c>
      <c r="M222" s="152" t="s">
        <v>27</v>
      </c>
      <c r="N222" s="152" t="s">
        <v>27</v>
      </c>
      <c r="O222" s="152" t="s">
        <v>27</v>
      </c>
      <c r="P222" s="152" t="s">
        <v>27</v>
      </c>
      <c r="Q222" s="190" t="s">
        <v>27</v>
      </c>
      <c r="R222" s="191"/>
      <c r="S222" s="33">
        <f t="shared" si="3"/>
        <v>2022</v>
      </c>
      <c r="T222" s="153"/>
    </row>
    <row r="223" spans="1:20" x14ac:dyDescent="0.35">
      <c r="A223" s="22" t="s">
        <v>632</v>
      </c>
      <c r="B223" s="23" t="s">
        <v>633</v>
      </c>
      <c r="C223" s="11" t="s">
        <v>276</v>
      </c>
      <c r="D223" s="22" t="s">
        <v>48</v>
      </c>
      <c r="E223" s="11" t="s">
        <v>43</v>
      </c>
      <c r="F223" s="34" t="s">
        <v>25</v>
      </c>
      <c r="G223" s="34">
        <v>455000</v>
      </c>
      <c r="H223" s="22" t="s">
        <v>38</v>
      </c>
      <c r="I223" s="152" t="s">
        <v>27</v>
      </c>
      <c r="J223" s="152" t="s">
        <v>27</v>
      </c>
      <c r="K223" s="152" t="s">
        <v>27</v>
      </c>
      <c r="L223" s="152" t="s">
        <v>27</v>
      </c>
      <c r="M223" s="152" t="s">
        <v>27</v>
      </c>
      <c r="N223" s="152" t="s">
        <v>27</v>
      </c>
      <c r="O223" s="152" t="s">
        <v>27</v>
      </c>
      <c r="P223" s="152" t="s">
        <v>27</v>
      </c>
      <c r="Q223" s="152" t="s">
        <v>27</v>
      </c>
      <c r="R223" s="22"/>
      <c r="S223" s="33">
        <f t="shared" si="3"/>
        <v>2022</v>
      </c>
      <c r="T223" s="153"/>
    </row>
    <row r="224" spans="1:20" s="5" customFormat="1" x14ac:dyDescent="0.35">
      <c r="A224" s="22" t="s">
        <v>634</v>
      </c>
      <c r="B224" s="23" t="s">
        <v>635</v>
      </c>
      <c r="C224" s="11" t="s">
        <v>636</v>
      </c>
      <c r="D224" s="22" t="s">
        <v>42</v>
      </c>
      <c r="E224" s="11" t="s">
        <v>43</v>
      </c>
      <c r="F224" s="34" t="s">
        <v>44</v>
      </c>
      <c r="G224" s="34">
        <v>2737000</v>
      </c>
      <c r="H224" s="22" t="s">
        <v>38</v>
      </c>
      <c r="I224" s="152" t="s">
        <v>27</v>
      </c>
      <c r="J224" s="152" t="s">
        <v>27</v>
      </c>
      <c r="K224" s="152" t="s">
        <v>27</v>
      </c>
      <c r="L224" s="152" t="s">
        <v>27</v>
      </c>
      <c r="M224" s="152" t="s">
        <v>27</v>
      </c>
      <c r="N224" s="152" t="s">
        <v>27</v>
      </c>
      <c r="O224" s="152" t="s">
        <v>27</v>
      </c>
      <c r="P224" s="152" t="s">
        <v>27</v>
      </c>
      <c r="Q224" s="152" t="s">
        <v>27</v>
      </c>
      <c r="R224" s="22"/>
      <c r="S224" s="33">
        <f t="shared" si="3"/>
        <v>2022</v>
      </c>
      <c r="T224" s="153"/>
    </row>
    <row r="225" spans="1:20" s="5" customFormat="1" x14ac:dyDescent="0.35">
      <c r="A225" s="22" t="s">
        <v>637</v>
      </c>
      <c r="B225" s="23" t="s">
        <v>638</v>
      </c>
      <c r="C225" s="11" t="s">
        <v>626</v>
      </c>
      <c r="D225" s="22" t="s">
        <v>37</v>
      </c>
      <c r="E225" s="11" t="s">
        <v>24</v>
      </c>
      <c r="F225" s="34" t="s">
        <v>25</v>
      </c>
      <c r="G225" s="34">
        <v>150000</v>
      </c>
      <c r="H225" s="22" t="s">
        <v>38</v>
      </c>
      <c r="I225" s="157" t="s">
        <v>27</v>
      </c>
      <c r="J225" s="157" t="s">
        <v>27</v>
      </c>
      <c r="K225" s="157" t="s">
        <v>27</v>
      </c>
      <c r="L225" s="157" t="s">
        <v>27</v>
      </c>
      <c r="M225" s="157" t="s">
        <v>27</v>
      </c>
      <c r="N225" s="157" t="s">
        <v>27</v>
      </c>
      <c r="O225" s="157" t="s">
        <v>27</v>
      </c>
      <c r="P225" s="157" t="s">
        <v>27</v>
      </c>
      <c r="Q225" s="157" t="s">
        <v>27</v>
      </c>
      <c r="R225" s="22"/>
      <c r="S225" s="33">
        <f t="shared" si="3"/>
        <v>2022</v>
      </c>
      <c r="T225" s="153"/>
    </row>
    <row r="226" spans="1:20" s="5" customFormat="1" x14ac:dyDescent="0.35">
      <c r="A226" s="22" t="s">
        <v>639</v>
      </c>
      <c r="B226" s="23" t="s">
        <v>640</v>
      </c>
      <c r="C226" s="11" t="s">
        <v>641</v>
      </c>
      <c r="D226" s="22" t="s">
        <v>23</v>
      </c>
      <c r="E226" s="11" t="s">
        <v>24</v>
      </c>
      <c r="F226" s="34" t="s">
        <v>25</v>
      </c>
      <c r="G226" s="34">
        <f>1090000+702000</f>
        <v>1792000</v>
      </c>
      <c r="H226" s="22" t="s">
        <v>38</v>
      </c>
      <c r="I226" s="152" t="s">
        <v>27</v>
      </c>
      <c r="J226" s="152" t="s">
        <v>27</v>
      </c>
      <c r="K226" s="152" t="s">
        <v>27</v>
      </c>
      <c r="L226" s="152" t="s">
        <v>27</v>
      </c>
      <c r="M226" s="152" t="s">
        <v>27</v>
      </c>
      <c r="N226" s="152" t="s">
        <v>27</v>
      </c>
      <c r="O226" s="152" t="s">
        <v>27</v>
      </c>
      <c r="P226" s="152" t="s">
        <v>27</v>
      </c>
      <c r="Q226" s="152" t="s">
        <v>27</v>
      </c>
      <c r="R226" s="22"/>
      <c r="S226" s="33">
        <f t="shared" si="3"/>
        <v>2022</v>
      </c>
      <c r="T226" s="153"/>
    </row>
    <row r="227" spans="1:20" x14ac:dyDescent="0.35">
      <c r="A227" s="22" t="s">
        <v>642</v>
      </c>
      <c r="B227" s="23" t="s">
        <v>643</v>
      </c>
      <c r="C227" s="11" t="s">
        <v>644</v>
      </c>
      <c r="D227" s="22" t="s">
        <v>37</v>
      </c>
      <c r="E227" s="11" t="s">
        <v>24</v>
      </c>
      <c r="F227" s="34" t="s">
        <v>25</v>
      </c>
      <c r="G227" s="34">
        <f>286000+7000000</f>
        <v>7286000</v>
      </c>
      <c r="H227" s="22" t="s">
        <v>38</v>
      </c>
      <c r="I227" s="152" t="s">
        <v>27</v>
      </c>
      <c r="J227" s="152" t="s">
        <v>27</v>
      </c>
      <c r="K227" s="152" t="s">
        <v>27</v>
      </c>
      <c r="L227" s="152" t="s">
        <v>27</v>
      </c>
      <c r="M227" s="152" t="s">
        <v>27</v>
      </c>
      <c r="N227" s="152" t="s">
        <v>27</v>
      </c>
      <c r="O227" s="152" t="s">
        <v>27</v>
      </c>
      <c r="P227" s="152" t="s">
        <v>27</v>
      </c>
      <c r="Q227" s="152" t="s">
        <v>27</v>
      </c>
      <c r="R227" s="22"/>
      <c r="S227" s="33">
        <f t="shared" si="3"/>
        <v>2022</v>
      </c>
      <c r="T227" s="153"/>
    </row>
    <row r="228" spans="1:20" x14ac:dyDescent="0.35">
      <c r="A228" s="22" t="s">
        <v>645</v>
      </c>
      <c r="B228" s="23" t="s">
        <v>646</v>
      </c>
      <c r="C228" s="11" t="s">
        <v>647</v>
      </c>
      <c r="D228" s="22" t="s">
        <v>48</v>
      </c>
      <c r="E228" s="11" t="s">
        <v>24</v>
      </c>
      <c r="F228" s="34" t="s">
        <v>25</v>
      </c>
      <c r="G228" s="34">
        <f>334500+6000000</f>
        <v>6334500</v>
      </c>
      <c r="H228" s="22" t="s">
        <v>38</v>
      </c>
      <c r="I228" s="152" t="s">
        <v>27</v>
      </c>
      <c r="J228" s="152" t="s">
        <v>27</v>
      </c>
      <c r="K228" s="152" t="s">
        <v>27</v>
      </c>
      <c r="L228" s="152" t="s">
        <v>27</v>
      </c>
      <c r="M228" s="152" t="s">
        <v>27</v>
      </c>
      <c r="N228" s="152" t="s">
        <v>27</v>
      </c>
      <c r="O228" s="152" t="s">
        <v>27</v>
      </c>
      <c r="P228" s="152" t="s">
        <v>27</v>
      </c>
      <c r="Q228" s="152" t="s">
        <v>27</v>
      </c>
      <c r="R228" s="22"/>
      <c r="S228" s="33">
        <f t="shared" si="3"/>
        <v>2022</v>
      </c>
      <c r="T228" s="153"/>
    </row>
    <row r="229" spans="1:20" x14ac:dyDescent="0.35">
      <c r="A229" s="113"/>
      <c r="B229" s="117"/>
      <c r="C229" s="194"/>
      <c r="D229" s="80"/>
      <c r="E229" s="114"/>
      <c r="F229" s="115"/>
      <c r="G229" s="115"/>
      <c r="H229" s="80"/>
      <c r="I229" s="159"/>
      <c r="J229" s="159"/>
      <c r="K229" s="159"/>
      <c r="L229" s="159"/>
      <c r="M229" s="159"/>
      <c r="N229" s="159"/>
      <c r="O229" s="159"/>
      <c r="P229" s="159"/>
      <c r="Q229" s="159"/>
      <c r="R229" s="80"/>
      <c r="S229" s="54" t="str">
        <f>IFERROR(2000+VALUE(LEFT(A229,2)),"")</f>
        <v/>
      </c>
      <c r="T229" s="160"/>
    </row>
  </sheetData>
  <phoneticPr fontId="7" type="noConversion"/>
  <conditionalFormatting sqref="I1:Q116 I117:R117 I118:Q1048576">
    <cfRule type="containsText" dxfId="14" priority="12" operator="containsText" text="Complete">
      <formula>NOT(ISERROR(SEARCH("Complete",I1)))</formula>
    </cfRule>
    <cfRule type="containsText" dxfId="13" priority="13" operator="containsText" text="Pending">
      <formula>NOT(ISERROR(SEARCH("Pending",I1)))</formula>
    </cfRule>
  </conditionalFormatting>
  <conditionalFormatting sqref="R2:R8 R10:R47 R49:R116 R118:R229">
    <cfRule type="notContainsBlanks" dxfId="12" priority="10">
      <formula>LEN(TRIM(R2))&gt;0</formula>
    </cfRule>
  </conditionalFormatting>
  <conditionalFormatting sqref="R9 R48">
    <cfRule type="containsText" dxfId="11" priority="2" operator="containsText" text="Complete">
      <formula>NOT(ISERROR(SEARCH("Complete",R9)))</formula>
    </cfRule>
    <cfRule type="containsText" dxfId="10" priority="3" operator="containsText" text="Pending">
      <formula>NOT(ISERROR(SEARCH("Pending",R9)))</formula>
    </cfRule>
    <cfRule type="notContainsBlanks" dxfId="9" priority="4">
      <formula>LEN(TRIM(R9))&gt;0</formula>
    </cfRule>
  </conditionalFormatting>
  <dataValidations count="2">
    <dataValidation type="list" allowBlank="1" showInputMessage="1" showErrorMessage="1" sqref="C229:C1048576 E229:E1048576 F2:F224" xr:uid="{E6EEC30A-79DF-4A01-B5BD-CAA3A29E9772}">
      <formula1>#REF!</formula1>
    </dataValidation>
    <dataValidation allowBlank="1" showInputMessage="1" showErrorMessage="1" sqref="O59:R59 K35:O40 O41:O58 O60:Q116 K41:N116 P35:Q58 K117:R117 K118:Q1048576 I35:J1048576 I1:Q34" xr:uid="{0E7A273E-3E37-404C-916E-9A3A3B97C0E0}"/>
  </dataValidations>
  <pageMargins left="0.7" right="0.7" top="0.75" bottom="0.75" header="0.3" footer="0.3"/>
  <pageSetup paperSize="9" fitToHeight="0"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73F3F-93E4-427E-A90A-4FC70F4284DC}">
  <sheetPr codeName="Sheet5">
    <tabColor theme="4" tint="0.59999389629810485"/>
    <pageSetUpPr fitToPage="1"/>
  </sheetPr>
  <dimension ref="A1:R638"/>
  <sheetViews>
    <sheetView zoomScale="85" zoomScaleNormal="85" zoomScaleSheetLayoutView="89" workbookViewId="0">
      <pane xSplit="1" ySplit="1" topLeftCell="B68" activePane="bottomRight" state="frozen"/>
      <selection pane="topRight" activeCell="C1" sqref="C1"/>
      <selection pane="bottomLeft" activeCell="A7" sqref="A7"/>
      <selection pane="bottomRight"/>
    </sheetView>
  </sheetViews>
  <sheetFormatPr defaultColWidth="9.1796875" defaultRowHeight="15" customHeight="1" x14ac:dyDescent="0.35"/>
  <cols>
    <col min="1" max="1" width="23" style="12" bestFit="1" customWidth="1"/>
    <col min="2" max="2" width="84.81640625" style="87" customWidth="1"/>
    <col min="3" max="3" width="30.54296875" style="12" bestFit="1" customWidth="1"/>
    <col min="4" max="4" width="30.54296875" style="12" customWidth="1"/>
    <col min="5" max="5" width="78.26953125" style="18" customWidth="1"/>
    <col min="6" max="6" width="20.81640625" style="16" bestFit="1" customWidth="1"/>
    <col min="7" max="7" width="28.7265625" style="151" bestFit="1" customWidth="1"/>
    <col min="8" max="8" width="23" style="12" bestFit="1" customWidth="1"/>
    <col min="9" max="9" width="39.26953125" style="172" bestFit="1" customWidth="1"/>
    <col min="10" max="10" width="33.81640625" style="172" bestFit="1" customWidth="1"/>
    <col min="11" max="11" width="48.1796875" style="172" bestFit="1" customWidth="1"/>
    <col min="12" max="12" width="51.26953125" style="172" bestFit="1" customWidth="1"/>
    <col min="13" max="13" width="36" style="172" bestFit="1" customWidth="1"/>
    <col min="14" max="14" width="31.7265625" style="172" bestFit="1" customWidth="1"/>
    <col min="15" max="15" width="31" style="18" bestFit="1" customWidth="1"/>
    <col min="16" max="16" width="119" style="16" customWidth="1"/>
    <col min="17" max="17" width="24.81640625" style="12" customWidth="1"/>
    <col min="18" max="18" width="13.26953125" style="12" customWidth="1"/>
    <col min="19" max="20" width="9.1796875" style="12" bestFit="1" customWidth="1"/>
    <col min="21" max="16384" width="9.1796875" style="12"/>
  </cols>
  <sheetData>
    <row r="1" spans="1:18" ht="16" customHeight="1" x14ac:dyDescent="0.35">
      <c r="A1" s="100" t="s">
        <v>648</v>
      </c>
      <c r="B1" s="94" t="s">
        <v>1</v>
      </c>
      <c r="C1" s="94" t="s">
        <v>3</v>
      </c>
      <c r="D1" s="94" t="s">
        <v>649</v>
      </c>
      <c r="E1" s="95" t="s">
        <v>650</v>
      </c>
      <c r="F1" s="95" t="s">
        <v>5</v>
      </c>
      <c r="G1" s="142" t="s">
        <v>651</v>
      </c>
      <c r="H1" s="94" t="s">
        <v>652</v>
      </c>
      <c r="I1" s="96" t="s">
        <v>653</v>
      </c>
      <c r="J1" s="96" t="s">
        <v>654</v>
      </c>
      <c r="K1" s="96" t="s">
        <v>655</v>
      </c>
      <c r="L1" s="96" t="s">
        <v>656</v>
      </c>
      <c r="M1" s="97" t="s">
        <v>657</v>
      </c>
      <c r="N1" s="97" t="s">
        <v>658</v>
      </c>
      <c r="O1" s="94" t="s">
        <v>659</v>
      </c>
      <c r="P1" s="98" t="s">
        <v>17</v>
      </c>
      <c r="Q1" s="173" t="s">
        <v>18</v>
      </c>
      <c r="R1" s="174" t="s">
        <v>19</v>
      </c>
    </row>
    <row r="2" spans="1:18" ht="14.5" hidden="1" customHeight="1" x14ac:dyDescent="0.35">
      <c r="A2" s="118" t="s">
        <v>660</v>
      </c>
      <c r="B2" s="88" t="s">
        <v>661</v>
      </c>
      <c r="C2" s="119" t="s">
        <v>42</v>
      </c>
      <c r="D2" s="119">
        <v>1</v>
      </c>
      <c r="E2" s="120" t="s">
        <v>662</v>
      </c>
      <c r="F2" s="6" t="s">
        <v>25</v>
      </c>
      <c r="G2" s="143">
        <v>7700</v>
      </c>
      <c r="H2" s="121" t="s">
        <v>663</v>
      </c>
      <c r="I2" s="162"/>
      <c r="J2" s="162"/>
      <c r="K2" s="162"/>
      <c r="L2" s="162"/>
      <c r="M2" s="162"/>
      <c r="N2" s="162"/>
      <c r="O2" s="122" t="s">
        <v>664</v>
      </c>
      <c r="P2" s="22"/>
      <c r="Q2" s="83">
        <f>IFERROR(2000+VALUE(LEFT(A2,2)),"")</f>
        <v>2020</v>
      </c>
      <c r="R2" s="106"/>
    </row>
    <row r="3" spans="1:18" ht="14.5" hidden="1" customHeight="1" x14ac:dyDescent="0.35">
      <c r="A3" s="118" t="s">
        <v>660</v>
      </c>
      <c r="B3" s="88" t="s">
        <v>661</v>
      </c>
      <c r="C3" s="119" t="s">
        <v>42</v>
      </c>
      <c r="D3" s="119">
        <v>0</v>
      </c>
      <c r="E3" s="120" t="s">
        <v>665</v>
      </c>
      <c r="F3" s="6" t="s">
        <v>25</v>
      </c>
      <c r="G3" s="143">
        <v>396000</v>
      </c>
      <c r="H3" s="121" t="s">
        <v>663</v>
      </c>
      <c r="I3" s="162"/>
      <c r="J3" s="162"/>
      <c r="K3" s="162"/>
      <c r="L3" s="162"/>
      <c r="M3" s="162"/>
      <c r="N3" s="162"/>
      <c r="O3" s="122" t="s">
        <v>664</v>
      </c>
      <c r="P3" s="22"/>
      <c r="Q3" s="83">
        <f t="shared" ref="Q3:Q66" si="0">IFERROR(2000+VALUE(LEFT(A3,2)),"")</f>
        <v>2020</v>
      </c>
      <c r="R3" s="106"/>
    </row>
    <row r="4" spans="1:18" s="13" customFormat="1" ht="14.5" hidden="1" customHeight="1" x14ac:dyDescent="0.35">
      <c r="A4" s="118" t="s">
        <v>660</v>
      </c>
      <c r="B4" s="88" t="s">
        <v>661</v>
      </c>
      <c r="C4" s="119" t="s">
        <v>42</v>
      </c>
      <c r="D4" s="119">
        <v>0</v>
      </c>
      <c r="E4" s="120" t="s">
        <v>666</v>
      </c>
      <c r="F4" s="6" t="s">
        <v>25</v>
      </c>
      <c r="G4" s="143">
        <v>403700</v>
      </c>
      <c r="H4" s="121" t="s">
        <v>663</v>
      </c>
      <c r="I4" s="162"/>
      <c r="J4" s="162"/>
      <c r="K4" s="162"/>
      <c r="L4" s="162"/>
      <c r="M4" s="162"/>
      <c r="N4" s="162"/>
      <c r="O4" s="122" t="s">
        <v>664</v>
      </c>
      <c r="P4" s="22"/>
      <c r="Q4" s="83">
        <f t="shared" si="0"/>
        <v>2020</v>
      </c>
      <c r="R4" s="106"/>
    </row>
    <row r="5" spans="1:18" s="13" customFormat="1" ht="14.5" hidden="1" customHeight="1" x14ac:dyDescent="0.35">
      <c r="A5" s="118" t="s">
        <v>660</v>
      </c>
      <c r="B5" s="88" t="s">
        <v>661</v>
      </c>
      <c r="C5" s="119" t="s">
        <v>42</v>
      </c>
      <c r="D5" s="119" t="s">
        <v>667</v>
      </c>
      <c r="E5" s="120" t="s">
        <v>668</v>
      </c>
      <c r="F5" s="6" t="s">
        <v>25</v>
      </c>
      <c r="G5" s="143">
        <v>403000</v>
      </c>
      <c r="H5" s="121" t="s">
        <v>663</v>
      </c>
      <c r="I5" s="162"/>
      <c r="J5" s="162"/>
      <c r="K5" s="162"/>
      <c r="L5" s="162"/>
      <c r="M5" s="162"/>
      <c r="N5" s="162"/>
      <c r="O5" s="122" t="s">
        <v>664</v>
      </c>
      <c r="P5" s="22"/>
      <c r="Q5" s="83">
        <f t="shared" si="0"/>
        <v>2020</v>
      </c>
      <c r="R5" s="106"/>
    </row>
    <row r="6" spans="1:18" s="13" customFormat="1" ht="14.5" hidden="1" customHeight="1" x14ac:dyDescent="0.35">
      <c r="A6" s="118" t="s">
        <v>660</v>
      </c>
      <c r="B6" s="88" t="s">
        <v>661</v>
      </c>
      <c r="C6" s="119" t="s">
        <v>42</v>
      </c>
      <c r="D6" s="119">
        <v>2</v>
      </c>
      <c r="E6" s="120" t="s">
        <v>669</v>
      </c>
      <c r="F6" s="6" t="s">
        <v>25</v>
      </c>
      <c r="G6" s="143">
        <v>33000</v>
      </c>
      <c r="H6" s="121" t="s">
        <v>663</v>
      </c>
      <c r="I6" s="162"/>
      <c r="J6" s="162"/>
      <c r="K6" s="162"/>
      <c r="L6" s="162"/>
      <c r="M6" s="162"/>
      <c r="N6" s="162"/>
      <c r="O6" s="122" t="s">
        <v>664</v>
      </c>
      <c r="P6" s="22"/>
      <c r="Q6" s="83">
        <f t="shared" si="0"/>
        <v>2020</v>
      </c>
      <c r="R6" s="106"/>
    </row>
    <row r="7" spans="1:18" ht="14.5" hidden="1" customHeight="1" x14ac:dyDescent="0.35">
      <c r="A7" s="118" t="s">
        <v>660</v>
      </c>
      <c r="B7" s="88" t="s">
        <v>661</v>
      </c>
      <c r="C7" s="119" t="s">
        <v>42</v>
      </c>
      <c r="D7" s="119">
        <v>3</v>
      </c>
      <c r="E7" s="120" t="s">
        <v>670</v>
      </c>
      <c r="F7" s="6" t="s">
        <v>25</v>
      </c>
      <c r="G7" s="143">
        <v>21700</v>
      </c>
      <c r="H7" s="121" t="s">
        <v>663</v>
      </c>
      <c r="I7" s="162"/>
      <c r="J7" s="162"/>
      <c r="K7" s="162"/>
      <c r="L7" s="162"/>
      <c r="M7" s="162"/>
      <c r="N7" s="162"/>
      <c r="O7" s="122" t="s">
        <v>664</v>
      </c>
      <c r="P7" s="22"/>
      <c r="Q7" s="83">
        <f t="shared" si="0"/>
        <v>2020</v>
      </c>
      <c r="R7" s="106"/>
    </row>
    <row r="8" spans="1:18" ht="14.5" hidden="1" customHeight="1" x14ac:dyDescent="0.35">
      <c r="A8" s="118" t="s">
        <v>660</v>
      </c>
      <c r="B8" s="88" t="s">
        <v>661</v>
      </c>
      <c r="C8" s="119" t="s">
        <v>42</v>
      </c>
      <c r="D8" s="119" t="s">
        <v>671</v>
      </c>
      <c r="E8" s="120" t="s">
        <v>670</v>
      </c>
      <c r="F8" s="6" t="s">
        <v>25</v>
      </c>
      <c r="G8" s="143">
        <v>231000</v>
      </c>
      <c r="H8" s="121" t="s">
        <v>663</v>
      </c>
      <c r="I8" s="162"/>
      <c r="J8" s="162"/>
      <c r="K8" s="162"/>
      <c r="L8" s="162"/>
      <c r="M8" s="162"/>
      <c r="N8" s="162"/>
      <c r="O8" s="122" t="s">
        <v>664</v>
      </c>
      <c r="P8" s="22"/>
      <c r="Q8" s="83">
        <f t="shared" si="0"/>
        <v>2020</v>
      </c>
      <c r="R8" s="106"/>
    </row>
    <row r="9" spans="1:18" ht="14.5" hidden="1" customHeight="1" x14ac:dyDescent="0.35">
      <c r="A9" s="118" t="s">
        <v>660</v>
      </c>
      <c r="B9" s="88" t="s">
        <v>661</v>
      </c>
      <c r="C9" s="119" t="s">
        <v>42</v>
      </c>
      <c r="D9" s="119">
        <v>4</v>
      </c>
      <c r="E9" s="120" t="s">
        <v>672</v>
      </c>
      <c r="F9" s="6" t="s">
        <v>25</v>
      </c>
      <c r="G9" s="143">
        <v>87400</v>
      </c>
      <c r="H9" s="121" t="s">
        <v>663</v>
      </c>
      <c r="I9" s="162"/>
      <c r="J9" s="162"/>
      <c r="K9" s="162"/>
      <c r="L9" s="162"/>
      <c r="M9" s="162"/>
      <c r="N9" s="162"/>
      <c r="O9" s="122" t="s">
        <v>664</v>
      </c>
      <c r="P9" s="22"/>
      <c r="Q9" s="83">
        <f t="shared" si="0"/>
        <v>2020</v>
      </c>
      <c r="R9" s="106"/>
    </row>
    <row r="10" spans="1:18" ht="14.5" hidden="1" customHeight="1" x14ac:dyDescent="0.35">
      <c r="A10" s="118" t="s">
        <v>660</v>
      </c>
      <c r="B10" s="88" t="s">
        <v>661</v>
      </c>
      <c r="C10" s="119" t="s">
        <v>42</v>
      </c>
      <c r="D10" s="119" t="s">
        <v>673</v>
      </c>
      <c r="E10" s="120" t="s">
        <v>672</v>
      </c>
      <c r="F10" s="6" t="s">
        <v>25</v>
      </c>
      <c r="G10" s="143">
        <v>59900</v>
      </c>
      <c r="H10" s="121" t="s">
        <v>663</v>
      </c>
      <c r="I10" s="162"/>
      <c r="J10" s="162"/>
      <c r="K10" s="162"/>
      <c r="L10" s="162"/>
      <c r="M10" s="162"/>
      <c r="N10" s="162"/>
      <c r="O10" s="122" t="s">
        <v>664</v>
      </c>
      <c r="P10" s="22"/>
      <c r="Q10" s="83">
        <f t="shared" si="0"/>
        <v>2020</v>
      </c>
      <c r="R10" s="106"/>
    </row>
    <row r="11" spans="1:18" s="13" customFormat="1" ht="14.5" hidden="1" customHeight="1" x14ac:dyDescent="0.35">
      <c r="A11" s="118" t="s">
        <v>660</v>
      </c>
      <c r="B11" s="88" t="s">
        <v>661</v>
      </c>
      <c r="C11" s="119" t="s">
        <v>42</v>
      </c>
      <c r="D11" s="119">
        <v>5</v>
      </c>
      <c r="E11" s="120" t="s">
        <v>674</v>
      </c>
      <c r="F11" s="6" t="s">
        <v>25</v>
      </c>
      <c r="G11" s="143">
        <v>110000</v>
      </c>
      <c r="H11" s="121" t="s">
        <v>663</v>
      </c>
      <c r="I11" s="162"/>
      <c r="J11" s="162"/>
      <c r="K11" s="162"/>
      <c r="L11" s="162"/>
      <c r="M11" s="162"/>
      <c r="N11" s="162"/>
      <c r="O11" s="122" t="s">
        <v>664</v>
      </c>
      <c r="P11" s="22"/>
      <c r="Q11" s="83">
        <f t="shared" si="0"/>
        <v>2020</v>
      </c>
      <c r="R11" s="106"/>
    </row>
    <row r="12" spans="1:18" s="13" customFormat="1" ht="14.5" hidden="1" customHeight="1" x14ac:dyDescent="0.35">
      <c r="A12" s="118" t="s">
        <v>660</v>
      </c>
      <c r="B12" s="88" t="s">
        <v>661</v>
      </c>
      <c r="C12" s="119" t="s">
        <v>42</v>
      </c>
      <c r="D12" s="119">
        <v>6</v>
      </c>
      <c r="E12" s="120" t="s">
        <v>675</v>
      </c>
      <c r="F12" s="6" t="s">
        <v>25</v>
      </c>
      <c r="G12" s="143">
        <v>-39000</v>
      </c>
      <c r="H12" s="121" t="s">
        <v>663</v>
      </c>
      <c r="I12" s="162"/>
      <c r="J12" s="162"/>
      <c r="K12" s="162"/>
      <c r="L12" s="162"/>
      <c r="M12" s="162"/>
      <c r="N12" s="162"/>
      <c r="O12" s="122" t="s">
        <v>664</v>
      </c>
      <c r="P12" s="22"/>
      <c r="Q12" s="83">
        <f t="shared" si="0"/>
        <v>2020</v>
      </c>
      <c r="R12" s="106"/>
    </row>
    <row r="13" spans="1:18" s="13" customFormat="1" ht="14.5" hidden="1" customHeight="1" x14ac:dyDescent="0.35">
      <c r="A13" s="118" t="s">
        <v>660</v>
      </c>
      <c r="B13" s="88" t="s">
        <v>661</v>
      </c>
      <c r="C13" s="119" t="s">
        <v>42</v>
      </c>
      <c r="D13" s="119">
        <v>7</v>
      </c>
      <c r="E13" s="120" t="s">
        <v>676</v>
      </c>
      <c r="F13" s="6" t="s">
        <v>25</v>
      </c>
      <c r="G13" s="143">
        <v>478232</v>
      </c>
      <c r="H13" s="121" t="s">
        <v>663</v>
      </c>
      <c r="I13" s="162"/>
      <c r="J13" s="162"/>
      <c r="K13" s="162"/>
      <c r="L13" s="162"/>
      <c r="M13" s="162"/>
      <c r="N13" s="162"/>
      <c r="O13" s="122" t="s">
        <v>664</v>
      </c>
      <c r="P13" s="22"/>
      <c r="Q13" s="83">
        <f t="shared" si="0"/>
        <v>2020</v>
      </c>
      <c r="R13" s="107"/>
    </row>
    <row r="14" spans="1:18" s="13" customFormat="1" ht="14.5" hidden="1" customHeight="1" x14ac:dyDescent="0.35">
      <c r="A14" s="118" t="s">
        <v>660</v>
      </c>
      <c r="B14" s="88" t="s">
        <v>661</v>
      </c>
      <c r="C14" s="119" t="s">
        <v>42</v>
      </c>
      <c r="D14" s="119">
        <v>0</v>
      </c>
      <c r="E14" s="120" t="s">
        <v>677</v>
      </c>
      <c r="F14" s="6" t="s">
        <v>25</v>
      </c>
      <c r="G14" s="143">
        <v>325688</v>
      </c>
      <c r="H14" s="121" t="s">
        <v>663</v>
      </c>
      <c r="I14" s="162"/>
      <c r="J14" s="162"/>
      <c r="K14" s="162"/>
      <c r="L14" s="162"/>
      <c r="M14" s="162"/>
      <c r="N14" s="162"/>
      <c r="O14" s="122" t="s">
        <v>664</v>
      </c>
      <c r="P14" s="22"/>
      <c r="Q14" s="83">
        <f t="shared" si="0"/>
        <v>2020</v>
      </c>
      <c r="R14" s="107"/>
    </row>
    <row r="15" spans="1:18" s="13" customFormat="1" ht="14.5" hidden="1" customHeight="1" x14ac:dyDescent="0.35">
      <c r="A15" s="118" t="s">
        <v>660</v>
      </c>
      <c r="B15" s="88" t="s">
        <v>661</v>
      </c>
      <c r="C15" s="119" t="s">
        <v>42</v>
      </c>
      <c r="D15" s="119" t="s">
        <v>678</v>
      </c>
      <c r="E15" s="120" t="s">
        <v>679</v>
      </c>
      <c r="F15" s="6" t="s">
        <v>25</v>
      </c>
      <c r="G15" s="143">
        <v>681750</v>
      </c>
      <c r="H15" s="121" t="s">
        <v>663</v>
      </c>
      <c r="I15" s="162"/>
      <c r="J15" s="162"/>
      <c r="K15" s="162"/>
      <c r="L15" s="162"/>
      <c r="M15" s="162"/>
      <c r="N15" s="162"/>
      <c r="O15" s="122" t="s">
        <v>664</v>
      </c>
      <c r="P15" s="22"/>
      <c r="Q15" s="83">
        <f t="shared" si="0"/>
        <v>2020</v>
      </c>
      <c r="R15" s="107"/>
    </row>
    <row r="16" spans="1:18" s="13" customFormat="1" ht="14.5" hidden="1" customHeight="1" x14ac:dyDescent="0.35">
      <c r="A16" s="118" t="s">
        <v>660</v>
      </c>
      <c r="B16" s="88" t="s">
        <v>661</v>
      </c>
      <c r="C16" s="119" t="s">
        <v>42</v>
      </c>
      <c r="D16" s="119">
        <v>0</v>
      </c>
      <c r="E16" s="120" t="s">
        <v>680</v>
      </c>
      <c r="F16" s="6" t="s">
        <v>25</v>
      </c>
      <c r="G16" s="143">
        <v>464289</v>
      </c>
      <c r="H16" s="121" t="s">
        <v>663</v>
      </c>
      <c r="I16" s="162"/>
      <c r="J16" s="162"/>
      <c r="K16" s="162"/>
      <c r="L16" s="162"/>
      <c r="M16" s="162"/>
      <c r="N16" s="162"/>
      <c r="O16" s="122" t="s">
        <v>664</v>
      </c>
      <c r="P16" s="22"/>
      <c r="Q16" s="83">
        <f t="shared" si="0"/>
        <v>2020</v>
      </c>
      <c r="R16" s="107"/>
    </row>
    <row r="17" spans="1:18" ht="14.5" hidden="1" customHeight="1" x14ac:dyDescent="0.35">
      <c r="A17" s="118" t="s">
        <v>660</v>
      </c>
      <c r="B17" s="88" t="s">
        <v>661</v>
      </c>
      <c r="C17" s="119" t="s">
        <v>42</v>
      </c>
      <c r="D17" s="119" t="s">
        <v>681</v>
      </c>
      <c r="E17" s="120" t="s">
        <v>679</v>
      </c>
      <c r="F17" s="6" t="s">
        <v>25</v>
      </c>
      <c r="G17" s="143">
        <v>567066</v>
      </c>
      <c r="H17" s="121" t="s">
        <v>663</v>
      </c>
      <c r="I17" s="162"/>
      <c r="J17" s="162"/>
      <c r="K17" s="162"/>
      <c r="L17" s="162"/>
      <c r="M17" s="162"/>
      <c r="N17" s="162"/>
      <c r="O17" s="122" t="s">
        <v>664</v>
      </c>
      <c r="P17" s="22"/>
      <c r="Q17" s="83">
        <f t="shared" si="0"/>
        <v>2020</v>
      </c>
      <c r="R17" s="107"/>
    </row>
    <row r="18" spans="1:18" ht="14.5" hidden="1" customHeight="1" x14ac:dyDescent="0.35">
      <c r="A18" s="118" t="s">
        <v>660</v>
      </c>
      <c r="B18" s="88" t="s">
        <v>661</v>
      </c>
      <c r="C18" s="119" t="s">
        <v>42</v>
      </c>
      <c r="D18" s="119">
        <v>0</v>
      </c>
      <c r="E18" s="120" t="s">
        <v>680</v>
      </c>
      <c r="F18" s="6" t="s">
        <v>25</v>
      </c>
      <c r="G18" s="143">
        <v>386187</v>
      </c>
      <c r="H18" s="121" t="s">
        <v>663</v>
      </c>
      <c r="I18" s="162"/>
      <c r="J18" s="162"/>
      <c r="K18" s="162"/>
      <c r="L18" s="162"/>
      <c r="M18" s="162"/>
      <c r="N18" s="162"/>
      <c r="O18" s="122" t="s">
        <v>664</v>
      </c>
      <c r="P18" s="22"/>
      <c r="Q18" s="83">
        <f t="shared" si="0"/>
        <v>2020</v>
      </c>
      <c r="R18" s="107"/>
    </row>
    <row r="19" spans="1:18" ht="14.5" hidden="1" customHeight="1" x14ac:dyDescent="0.35">
      <c r="A19" s="118" t="s">
        <v>660</v>
      </c>
      <c r="B19" s="88" t="s">
        <v>661</v>
      </c>
      <c r="C19" s="119" t="s">
        <v>42</v>
      </c>
      <c r="D19" s="119" t="s">
        <v>682</v>
      </c>
      <c r="E19" s="120" t="s">
        <v>679</v>
      </c>
      <c r="F19" s="6" t="s">
        <v>25</v>
      </c>
      <c r="G19" s="143">
        <v>425300</v>
      </c>
      <c r="H19" s="121" t="s">
        <v>663</v>
      </c>
      <c r="I19" s="162"/>
      <c r="J19" s="162"/>
      <c r="K19" s="162"/>
      <c r="L19" s="162"/>
      <c r="M19" s="162"/>
      <c r="N19" s="162"/>
      <c r="O19" s="122" t="s">
        <v>664</v>
      </c>
      <c r="P19" s="22"/>
      <c r="Q19" s="83">
        <f t="shared" si="0"/>
        <v>2020</v>
      </c>
      <c r="R19" s="107"/>
    </row>
    <row r="20" spans="1:18" ht="14.5" hidden="1" customHeight="1" x14ac:dyDescent="0.35">
      <c r="A20" s="118" t="s">
        <v>660</v>
      </c>
      <c r="B20" s="88" t="s">
        <v>661</v>
      </c>
      <c r="C20" s="119" t="s">
        <v>42</v>
      </c>
      <c r="D20" s="119">
        <v>0</v>
      </c>
      <c r="E20" s="120" t="s">
        <v>680</v>
      </c>
      <c r="F20" s="6" t="s">
        <v>25</v>
      </c>
      <c r="G20" s="143">
        <v>289640</v>
      </c>
      <c r="H20" s="121" t="s">
        <v>663</v>
      </c>
      <c r="I20" s="162"/>
      <c r="J20" s="162"/>
      <c r="K20" s="162"/>
      <c r="L20" s="162"/>
      <c r="M20" s="162"/>
      <c r="N20" s="162"/>
      <c r="O20" s="122" t="s">
        <v>664</v>
      </c>
      <c r="P20" s="22"/>
      <c r="Q20" s="83">
        <f t="shared" si="0"/>
        <v>2020</v>
      </c>
      <c r="R20" s="107"/>
    </row>
    <row r="21" spans="1:18" ht="14.5" hidden="1" customHeight="1" x14ac:dyDescent="0.35">
      <c r="A21" s="118" t="s">
        <v>660</v>
      </c>
      <c r="B21" s="88" t="s">
        <v>661</v>
      </c>
      <c r="C21" s="119" t="s">
        <v>42</v>
      </c>
      <c r="D21" s="119" t="s">
        <v>683</v>
      </c>
      <c r="E21" s="120" t="s">
        <v>684</v>
      </c>
      <c r="F21" s="6" t="s">
        <v>25</v>
      </c>
      <c r="G21" s="143">
        <v>550000</v>
      </c>
      <c r="H21" s="121" t="s">
        <v>663</v>
      </c>
      <c r="I21" s="162"/>
      <c r="J21" s="162"/>
      <c r="K21" s="162"/>
      <c r="L21" s="162"/>
      <c r="M21" s="162"/>
      <c r="N21" s="162"/>
      <c r="O21" s="122" t="s">
        <v>664</v>
      </c>
      <c r="P21" s="22"/>
      <c r="Q21" s="83">
        <f t="shared" si="0"/>
        <v>2020</v>
      </c>
      <c r="R21" s="107"/>
    </row>
    <row r="22" spans="1:18" ht="14.5" hidden="1" customHeight="1" x14ac:dyDescent="0.35">
      <c r="A22" s="118" t="s">
        <v>660</v>
      </c>
      <c r="B22" s="88" t="s">
        <v>661</v>
      </c>
      <c r="C22" s="119" t="s">
        <v>42</v>
      </c>
      <c r="D22" s="119" t="s">
        <v>685</v>
      </c>
      <c r="E22" s="120" t="s">
        <v>684</v>
      </c>
      <c r="F22" s="6" t="s">
        <v>25</v>
      </c>
      <c r="G22" s="143">
        <v>550000</v>
      </c>
      <c r="H22" s="121" t="s">
        <v>663</v>
      </c>
      <c r="I22" s="162"/>
      <c r="J22" s="162"/>
      <c r="K22" s="162"/>
      <c r="L22" s="162"/>
      <c r="M22" s="162"/>
      <c r="N22" s="162"/>
      <c r="O22" s="122" t="s">
        <v>664</v>
      </c>
      <c r="P22" s="22"/>
      <c r="Q22" s="83">
        <f t="shared" si="0"/>
        <v>2020</v>
      </c>
      <c r="R22" s="107"/>
    </row>
    <row r="23" spans="1:18" ht="14.5" hidden="1" customHeight="1" x14ac:dyDescent="0.35">
      <c r="A23" s="118" t="s">
        <v>660</v>
      </c>
      <c r="B23" s="88" t="s">
        <v>661</v>
      </c>
      <c r="C23" s="119" t="s">
        <v>42</v>
      </c>
      <c r="D23" s="119">
        <v>0</v>
      </c>
      <c r="E23" s="120" t="s">
        <v>686</v>
      </c>
      <c r="F23" s="6" t="s">
        <v>25</v>
      </c>
      <c r="G23" s="143">
        <v>80000</v>
      </c>
      <c r="H23" s="121" t="s">
        <v>663</v>
      </c>
      <c r="I23" s="162"/>
      <c r="J23" s="162"/>
      <c r="K23" s="162"/>
      <c r="L23" s="162"/>
      <c r="M23" s="162"/>
      <c r="N23" s="162"/>
      <c r="O23" s="122" t="s">
        <v>664</v>
      </c>
      <c r="P23" s="22"/>
      <c r="Q23" s="83">
        <f t="shared" si="0"/>
        <v>2020</v>
      </c>
      <c r="R23" s="106"/>
    </row>
    <row r="24" spans="1:18" ht="14.5" hidden="1" customHeight="1" x14ac:dyDescent="0.35">
      <c r="A24" s="118" t="s">
        <v>660</v>
      </c>
      <c r="B24" s="88" t="s">
        <v>661</v>
      </c>
      <c r="C24" s="119" t="s">
        <v>42</v>
      </c>
      <c r="D24" s="119">
        <v>8</v>
      </c>
      <c r="E24" s="120" t="s">
        <v>687</v>
      </c>
      <c r="F24" s="6" t="s">
        <v>25</v>
      </c>
      <c r="G24" s="143">
        <v>183766</v>
      </c>
      <c r="H24" s="121" t="s">
        <v>663</v>
      </c>
      <c r="I24" s="162"/>
      <c r="J24" s="162"/>
      <c r="K24" s="162"/>
      <c r="L24" s="162"/>
      <c r="M24" s="162"/>
      <c r="N24" s="162"/>
      <c r="O24" s="122" t="s">
        <v>664</v>
      </c>
      <c r="P24" s="22"/>
      <c r="Q24" s="83">
        <f t="shared" si="0"/>
        <v>2020</v>
      </c>
      <c r="R24" s="106"/>
    </row>
    <row r="25" spans="1:18" ht="14.5" hidden="1" customHeight="1" x14ac:dyDescent="0.35">
      <c r="A25" s="118" t="s">
        <v>660</v>
      </c>
      <c r="B25" s="88" t="s">
        <v>661</v>
      </c>
      <c r="C25" s="119" t="s">
        <v>42</v>
      </c>
      <c r="D25" s="119" t="s">
        <v>688</v>
      </c>
      <c r="E25" s="120" t="s">
        <v>689</v>
      </c>
      <c r="F25" s="6" t="s">
        <v>25</v>
      </c>
      <c r="G25" s="143">
        <v>156772</v>
      </c>
      <c r="H25" s="121" t="s">
        <v>663</v>
      </c>
      <c r="I25" s="162"/>
      <c r="J25" s="162"/>
      <c r="K25" s="162"/>
      <c r="L25" s="162"/>
      <c r="M25" s="162"/>
      <c r="N25" s="162"/>
      <c r="O25" s="122" t="s">
        <v>664</v>
      </c>
      <c r="P25" s="22"/>
      <c r="Q25" s="83">
        <f t="shared" si="0"/>
        <v>2020</v>
      </c>
      <c r="R25" s="106"/>
    </row>
    <row r="26" spans="1:18" ht="14.5" hidden="1" customHeight="1" x14ac:dyDescent="0.35">
      <c r="A26" s="118" t="s">
        <v>660</v>
      </c>
      <c r="B26" s="88" t="s">
        <v>661</v>
      </c>
      <c r="C26" s="119" t="s">
        <v>42</v>
      </c>
      <c r="D26" s="119" t="s">
        <v>690</v>
      </c>
      <c r="E26" s="120" t="s">
        <v>689</v>
      </c>
      <c r="F26" s="6" t="s">
        <v>25</v>
      </c>
      <c r="G26" s="143">
        <v>96000</v>
      </c>
      <c r="H26" s="121" t="s">
        <v>663</v>
      </c>
      <c r="I26" s="162"/>
      <c r="J26" s="162"/>
      <c r="K26" s="162"/>
      <c r="L26" s="162"/>
      <c r="M26" s="162"/>
      <c r="N26" s="162"/>
      <c r="O26" s="122" t="s">
        <v>664</v>
      </c>
      <c r="P26" s="22"/>
      <c r="Q26" s="83">
        <f t="shared" si="0"/>
        <v>2020</v>
      </c>
      <c r="R26" s="106"/>
    </row>
    <row r="27" spans="1:18" ht="14.5" hidden="1" customHeight="1" x14ac:dyDescent="0.35">
      <c r="A27" s="118" t="s">
        <v>660</v>
      </c>
      <c r="B27" s="88" t="s">
        <v>661</v>
      </c>
      <c r="C27" s="119" t="s">
        <v>42</v>
      </c>
      <c r="D27" s="119" t="s">
        <v>691</v>
      </c>
      <c r="E27" s="120" t="s">
        <v>689</v>
      </c>
      <c r="F27" s="6" t="s">
        <v>25</v>
      </c>
      <c r="G27" s="143">
        <v>73172</v>
      </c>
      <c r="H27" s="121" t="s">
        <v>663</v>
      </c>
      <c r="I27" s="162"/>
      <c r="J27" s="162"/>
      <c r="K27" s="162"/>
      <c r="L27" s="162"/>
      <c r="M27" s="162"/>
      <c r="N27" s="162"/>
      <c r="O27" s="122" t="s">
        <v>664</v>
      </c>
      <c r="P27" s="22"/>
      <c r="Q27" s="83">
        <f t="shared" si="0"/>
        <v>2020</v>
      </c>
      <c r="R27" s="107"/>
    </row>
    <row r="28" spans="1:18" ht="14.5" hidden="1" customHeight="1" x14ac:dyDescent="0.35">
      <c r="A28" s="118" t="s">
        <v>660</v>
      </c>
      <c r="B28" s="88" t="s">
        <v>661</v>
      </c>
      <c r="C28" s="119" t="s">
        <v>42</v>
      </c>
      <c r="D28" s="119">
        <v>9</v>
      </c>
      <c r="E28" s="120" t="s">
        <v>692</v>
      </c>
      <c r="F28" s="6" t="s">
        <v>25</v>
      </c>
      <c r="G28" s="143">
        <v>96000</v>
      </c>
      <c r="H28" s="121" t="s">
        <v>663</v>
      </c>
      <c r="I28" s="162"/>
      <c r="J28" s="162"/>
      <c r="K28" s="162"/>
      <c r="L28" s="162"/>
      <c r="M28" s="162"/>
      <c r="N28" s="162"/>
      <c r="O28" s="122" t="s">
        <v>664</v>
      </c>
      <c r="P28" s="22"/>
      <c r="Q28" s="83">
        <f t="shared" si="0"/>
        <v>2020</v>
      </c>
      <c r="R28" s="107"/>
    </row>
    <row r="29" spans="1:18" ht="14.5" hidden="1" customHeight="1" x14ac:dyDescent="0.35">
      <c r="A29" s="118" t="s">
        <v>660</v>
      </c>
      <c r="B29" s="88" t="s">
        <v>661</v>
      </c>
      <c r="C29" s="119" t="s">
        <v>42</v>
      </c>
      <c r="D29" s="119">
        <v>0</v>
      </c>
      <c r="E29" s="120" t="s">
        <v>693</v>
      </c>
      <c r="F29" s="6" t="s">
        <v>25</v>
      </c>
      <c r="G29" s="143">
        <v>89000</v>
      </c>
      <c r="H29" s="121" t="s">
        <v>663</v>
      </c>
      <c r="I29" s="162"/>
      <c r="J29" s="162"/>
      <c r="K29" s="162"/>
      <c r="L29" s="162"/>
      <c r="M29" s="162"/>
      <c r="N29" s="162"/>
      <c r="O29" s="122" t="s">
        <v>664</v>
      </c>
      <c r="P29" s="22"/>
      <c r="Q29" s="83">
        <f t="shared" si="0"/>
        <v>2020</v>
      </c>
      <c r="R29" s="107"/>
    </row>
    <row r="30" spans="1:18" ht="14.5" hidden="1" customHeight="1" x14ac:dyDescent="0.35">
      <c r="A30" s="118" t="s">
        <v>660</v>
      </c>
      <c r="B30" s="88" t="s">
        <v>661</v>
      </c>
      <c r="C30" s="119" t="s">
        <v>42</v>
      </c>
      <c r="D30" s="119">
        <v>11</v>
      </c>
      <c r="E30" s="120" t="s">
        <v>694</v>
      </c>
      <c r="F30" s="6" t="s">
        <v>25</v>
      </c>
      <c r="G30" s="143">
        <v>26400</v>
      </c>
      <c r="H30" s="121" t="s">
        <v>663</v>
      </c>
      <c r="I30" s="162"/>
      <c r="J30" s="162"/>
      <c r="K30" s="162"/>
      <c r="L30" s="162"/>
      <c r="M30" s="162"/>
      <c r="N30" s="162"/>
      <c r="O30" s="122" t="s">
        <v>664</v>
      </c>
      <c r="P30" s="22"/>
      <c r="Q30" s="83">
        <f t="shared" si="0"/>
        <v>2020</v>
      </c>
      <c r="R30" s="107"/>
    </row>
    <row r="31" spans="1:18" ht="14.5" hidden="1" customHeight="1" x14ac:dyDescent="0.35">
      <c r="A31" s="118" t="s">
        <v>660</v>
      </c>
      <c r="B31" s="88" t="s">
        <v>661</v>
      </c>
      <c r="C31" s="119" t="s">
        <v>42</v>
      </c>
      <c r="D31" s="119">
        <v>12</v>
      </c>
      <c r="E31" s="120" t="s">
        <v>695</v>
      </c>
      <c r="F31" s="6" t="s">
        <v>25</v>
      </c>
      <c r="G31" s="143">
        <v>4373</v>
      </c>
      <c r="H31" s="121" t="s">
        <v>663</v>
      </c>
      <c r="I31" s="162"/>
      <c r="J31" s="162"/>
      <c r="K31" s="162"/>
      <c r="L31" s="162"/>
      <c r="M31" s="162"/>
      <c r="N31" s="162"/>
      <c r="O31" s="122" t="s">
        <v>664</v>
      </c>
      <c r="P31" s="22"/>
      <c r="Q31" s="83">
        <f t="shared" si="0"/>
        <v>2020</v>
      </c>
      <c r="R31" s="107"/>
    </row>
    <row r="32" spans="1:18" ht="14.5" hidden="1" customHeight="1" x14ac:dyDescent="0.35">
      <c r="A32" s="118" t="s">
        <v>660</v>
      </c>
      <c r="B32" s="88" t="s">
        <v>661</v>
      </c>
      <c r="C32" s="119" t="s">
        <v>42</v>
      </c>
      <c r="D32" s="119">
        <v>13</v>
      </c>
      <c r="E32" s="120" t="s">
        <v>696</v>
      </c>
      <c r="F32" s="6" t="s">
        <v>25</v>
      </c>
      <c r="G32" s="143">
        <v>90000</v>
      </c>
      <c r="H32" s="121" t="s">
        <v>663</v>
      </c>
      <c r="I32" s="162"/>
      <c r="J32" s="162"/>
      <c r="K32" s="162"/>
      <c r="L32" s="162"/>
      <c r="M32" s="162"/>
      <c r="N32" s="162"/>
      <c r="O32" s="122" t="s">
        <v>664</v>
      </c>
      <c r="P32" s="22"/>
      <c r="Q32" s="83">
        <f t="shared" si="0"/>
        <v>2020</v>
      </c>
      <c r="R32" s="107"/>
    </row>
    <row r="33" spans="1:18" ht="14.5" hidden="1" customHeight="1" x14ac:dyDescent="0.35">
      <c r="A33" s="118" t="s">
        <v>660</v>
      </c>
      <c r="B33" s="88" t="s">
        <v>661</v>
      </c>
      <c r="C33" s="119" t="s">
        <v>42</v>
      </c>
      <c r="D33" s="119" t="s">
        <v>697</v>
      </c>
      <c r="E33" s="120" t="s">
        <v>696</v>
      </c>
      <c r="F33" s="6" t="s">
        <v>25</v>
      </c>
      <c r="G33" s="143">
        <v>90000</v>
      </c>
      <c r="H33" s="121" t="s">
        <v>663</v>
      </c>
      <c r="I33" s="162"/>
      <c r="J33" s="162"/>
      <c r="K33" s="162"/>
      <c r="L33" s="162"/>
      <c r="M33" s="162"/>
      <c r="N33" s="162"/>
      <c r="O33" s="122" t="s">
        <v>664</v>
      </c>
      <c r="P33" s="22"/>
      <c r="Q33" s="83">
        <f t="shared" si="0"/>
        <v>2020</v>
      </c>
      <c r="R33" s="106"/>
    </row>
    <row r="34" spans="1:18" ht="14.5" hidden="1" customHeight="1" x14ac:dyDescent="0.35">
      <c r="A34" s="118" t="s">
        <v>660</v>
      </c>
      <c r="B34" s="88" t="s">
        <v>661</v>
      </c>
      <c r="C34" s="119" t="s">
        <v>42</v>
      </c>
      <c r="D34" s="119">
        <v>10</v>
      </c>
      <c r="E34" s="120" t="s">
        <v>698</v>
      </c>
      <c r="F34" s="6" t="s">
        <v>25</v>
      </c>
      <c r="G34" s="143">
        <v>11773575</v>
      </c>
      <c r="H34" s="121" t="s">
        <v>663</v>
      </c>
      <c r="I34" s="162"/>
      <c r="J34" s="162"/>
      <c r="K34" s="162"/>
      <c r="L34" s="162"/>
      <c r="M34" s="162"/>
      <c r="N34" s="162"/>
      <c r="O34" s="122" t="s">
        <v>664</v>
      </c>
      <c r="P34" s="22"/>
      <c r="Q34" s="83">
        <f t="shared" si="0"/>
        <v>2020</v>
      </c>
      <c r="R34" s="106"/>
    </row>
    <row r="35" spans="1:18" ht="14.5" hidden="1" customHeight="1" x14ac:dyDescent="0.35">
      <c r="A35" s="118" t="s">
        <v>660</v>
      </c>
      <c r="B35" s="88" t="s">
        <v>661</v>
      </c>
      <c r="C35" s="119" t="s">
        <v>42</v>
      </c>
      <c r="D35" s="119" t="s">
        <v>699</v>
      </c>
      <c r="E35" s="120" t="s">
        <v>694</v>
      </c>
      <c r="F35" s="6" t="s">
        <v>25</v>
      </c>
      <c r="G35" s="143">
        <v>22550</v>
      </c>
      <c r="H35" s="121" t="s">
        <v>663</v>
      </c>
      <c r="I35" s="162"/>
      <c r="J35" s="162"/>
      <c r="K35" s="162"/>
      <c r="L35" s="162"/>
      <c r="M35" s="162"/>
      <c r="N35" s="162"/>
      <c r="O35" s="122" t="s">
        <v>664</v>
      </c>
      <c r="P35" s="22"/>
      <c r="Q35" s="83">
        <f t="shared" si="0"/>
        <v>2020</v>
      </c>
      <c r="R35" s="106"/>
    </row>
    <row r="36" spans="1:18" ht="14.5" hidden="1" customHeight="1" x14ac:dyDescent="0.35">
      <c r="A36" s="118" t="s">
        <v>660</v>
      </c>
      <c r="B36" s="88" t="s">
        <v>661</v>
      </c>
      <c r="C36" s="119" t="s">
        <v>42</v>
      </c>
      <c r="D36" s="119">
        <v>15</v>
      </c>
      <c r="E36" s="120" t="s">
        <v>700</v>
      </c>
      <c r="F36" s="6" t="s">
        <v>25</v>
      </c>
      <c r="G36" s="143">
        <v>22000</v>
      </c>
      <c r="H36" s="121" t="s">
        <v>663</v>
      </c>
      <c r="I36" s="162"/>
      <c r="J36" s="162"/>
      <c r="K36" s="162"/>
      <c r="L36" s="162"/>
      <c r="M36" s="162"/>
      <c r="N36" s="162"/>
      <c r="O36" s="122" t="s">
        <v>664</v>
      </c>
      <c r="P36" s="22"/>
      <c r="Q36" s="83">
        <f t="shared" si="0"/>
        <v>2020</v>
      </c>
      <c r="R36" s="106"/>
    </row>
    <row r="37" spans="1:18" ht="14.5" hidden="1" customHeight="1" x14ac:dyDescent="0.35">
      <c r="A37" s="118" t="s">
        <v>660</v>
      </c>
      <c r="B37" s="88" t="s">
        <v>661</v>
      </c>
      <c r="C37" s="119" t="s">
        <v>42</v>
      </c>
      <c r="D37" s="119" t="s">
        <v>701</v>
      </c>
      <c r="E37" s="120" t="s">
        <v>702</v>
      </c>
      <c r="F37" s="6" t="s">
        <v>25</v>
      </c>
      <c r="G37" s="143">
        <v>149000</v>
      </c>
      <c r="H37" s="121" t="s">
        <v>663</v>
      </c>
      <c r="I37" s="162"/>
      <c r="J37" s="162"/>
      <c r="K37" s="162"/>
      <c r="L37" s="162"/>
      <c r="M37" s="162"/>
      <c r="N37" s="162"/>
      <c r="O37" s="122" t="s">
        <v>664</v>
      </c>
      <c r="P37" s="22"/>
      <c r="Q37" s="83">
        <f t="shared" si="0"/>
        <v>2020</v>
      </c>
      <c r="R37" s="106"/>
    </row>
    <row r="38" spans="1:18" ht="14.5" hidden="1" customHeight="1" x14ac:dyDescent="0.35">
      <c r="A38" s="118" t="s">
        <v>660</v>
      </c>
      <c r="B38" s="88" t="s">
        <v>661</v>
      </c>
      <c r="C38" s="119" t="s">
        <v>42</v>
      </c>
      <c r="D38" s="119" t="s">
        <v>703</v>
      </c>
      <c r="E38" s="120" t="s">
        <v>702</v>
      </c>
      <c r="F38" s="6" t="s">
        <v>25</v>
      </c>
      <c r="G38" s="143">
        <v>130000</v>
      </c>
      <c r="H38" s="121" t="s">
        <v>663</v>
      </c>
      <c r="I38" s="162"/>
      <c r="J38" s="162"/>
      <c r="K38" s="162"/>
      <c r="L38" s="162"/>
      <c r="M38" s="162"/>
      <c r="N38" s="162"/>
      <c r="O38" s="122" t="s">
        <v>664</v>
      </c>
      <c r="P38" s="22"/>
      <c r="Q38" s="83">
        <f t="shared" si="0"/>
        <v>2020</v>
      </c>
      <c r="R38" s="106"/>
    </row>
    <row r="39" spans="1:18" ht="14.5" hidden="1" customHeight="1" x14ac:dyDescent="0.35">
      <c r="A39" s="118" t="s">
        <v>660</v>
      </c>
      <c r="B39" s="88" t="s">
        <v>661</v>
      </c>
      <c r="C39" s="119" t="s">
        <v>42</v>
      </c>
      <c r="D39" s="119" t="s">
        <v>704</v>
      </c>
      <c r="E39" s="120" t="s">
        <v>702</v>
      </c>
      <c r="F39" s="6" t="s">
        <v>25</v>
      </c>
      <c r="G39" s="143">
        <v>100000</v>
      </c>
      <c r="H39" s="121" t="s">
        <v>663</v>
      </c>
      <c r="I39" s="162"/>
      <c r="J39" s="162"/>
      <c r="K39" s="162"/>
      <c r="L39" s="162"/>
      <c r="M39" s="162"/>
      <c r="N39" s="162"/>
      <c r="O39" s="122" t="s">
        <v>664</v>
      </c>
      <c r="P39" s="22"/>
      <c r="Q39" s="83">
        <f t="shared" si="0"/>
        <v>2020</v>
      </c>
      <c r="R39" s="106"/>
    </row>
    <row r="40" spans="1:18" ht="14.5" hidden="1" customHeight="1" x14ac:dyDescent="0.35">
      <c r="A40" s="118" t="s">
        <v>660</v>
      </c>
      <c r="B40" s="88" t="s">
        <v>661</v>
      </c>
      <c r="C40" s="119" t="s">
        <v>42</v>
      </c>
      <c r="D40" s="119" t="s">
        <v>705</v>
      </c>
      <c r="E40" s="120" t="s">
        <v>706</v>
      </c>
      <c r="F40" s="6" t="s">
        <v>25</v>
      </c>
      <c r="G40" s="143">
        <v>4050000</v>
      </c>
      <c r="H40" s="121" t="s">
        <v>663</v>
      </c>
      <c r="I40" s="162"/>
      <c r="J40" s="162"/>
      <c r="K40" s="162"/>
      <c r="L40" s="162"/>
      <c r="M40" s="162"/>
      <c r="N40" s="162"/>
      <c r="O40" s="122" t="s">
        <v>664</v>
      </c>
      <c r="P40" s="22"/>
      <c r="Q40" s="83">
        <f t="shared" si="0"/>
        <v>2020</v>
      </c>
      <c r="R40" s="106"/>
    </row>
    <row r="41" spans="1:18" ht="14.5" hidden="1" customHeight="1" x14ac:dyDescent="0.35">
      <c r="A41" s="118" t="s">
        <v>707</v>
      </c>
      <c r="B41" s="88" t="s">
        <v>708</v>
      </c>
      <c r="C41" s="119" t="s">
        <v>23</v>
      </c>
      <c r="D41" s="119">
        <v>1</v>
      </c>
      <c r="E41" s="120" t="s">
        <v>662</v>
      </c>
      <c r="F41" s="6" t="s">
        <v>25</v>
      </c>
      <c r="G41" s="143">
        <v>1800</v>
      </c>
      <c r="H41" s="119" t="s">
        <v>709</v>
      </c>
      <c r="I41" s="163" t="s">
        <v>27</v>
      </c>
      <c r="J41" s="163" t="s">
        <v>27</v>
      </c>
      <c r="K41" s="163" t="s">
        <v>27</v>
      </c>
      <c r="L41" s="163" t="s">
        <v>27</v>
      </c>
      <c r="M41" s="163" t="s">
        <v>27</v>
      </c>
      <c r="N41" s="163" t="s">
        <v>27</v>
      </c>
      <c r="O41" s="122" t="s">
        <v>709</v>
      </c>
      <c r="P41" s="22" t="s">
        <v>710</v>
      </c>
      <c r="Q41" s="83">
        <f t="shared" si="0"/>
        <v>2020</v>
      </c>
      <c r="R41" s="106"/>
    </row>
    <row r="42" spans="1:18" ht="14.5" hidden="1" customHeight="1" x14ac:dyDescent="0.35">
      <c r="A42" s="118" t="s">
        <v>707</v>
      </c>
      <c r="B42" s="88" t="s">
        <v>708</v>
      </c>
      <c r="C42" s="119" t="s">
        <v>23</v>
      </c>
      <c r="D42" s="119">
        <v>2</v>
      </c>
      <c r="E42" s="120" t="s">
        <v>711</v>
      </c>
      <c r="F42" s="6" t="s">
        <v>25</v>
      </c>
      <c r="G42" s="143">
        <v>7000</v>
      </c>
      <c r="H42" s="119" t="s">
        <v>709</v>
      </c>
      <c r="I42" s="163" t="s">
        <v>27</v>
      </c>
      <c r="J42" s="163" t="s">
        <v>27</v>
      </c>
      <c r="K42" s="163" t="s">
        <v>27</v>
      </c>
      <c r="L42" s="163" t="s">
        <v>27</v>
      </c>
      <c r="M42" s="163" t="s">
        <v>27</v>
      </c>
      <c r="N42" s="163" t="s">
        <v>27</v>
      </c>
      <c r="O42" s="122" t="s">
        <v>709</v>
      </c>
      <c r="P42" s="22" t="s">
        <v>710</v>
      </c>
      <c r="Q42" s="83">
        <f t="shared" si="0"/>
        <v>2020</v>
      </c>
      <c r="R42" s="106"/>
    </row>
    <row r="43" spans="1:18" ht="14.5" hidden="1" customHeight="1" x14ac:dyDescent="0.35">
      <c r="A43" s="118" t="s">
        <v>707</v>
      </c>
      <c r="B43" s="88" t="s">
        <v>708</v>
      </c>
      <c r="C43" s="119" t="s">
        <v>23</v>
      </c>
      <c r="D43" s="119">
        <v>3</v>
      </c>
      <c r="E43" s="120" t="s">
        <v>712</v>
      </c>
      <c r="F43" s="6" t="s">
        <v>25</v>
      </c>
      <c r="G43" s="143">
        <v>30000</v>
      </c>
      <c r="H43" s="119" t="s">
        <v>709</v>
      </c>
      <c r="I43" s="163" t="s">
        <v>27</v>
      </c>
      <c r="J43" s="163" t="s">
        <v>27</v>
      </c>
      <c r="K43" s="163" t="s">
        <v>27</v>
      </c>
      <c r="L43" s="163" t="s">
        <v>27</v>
      </c>
      <c r="M43" s="163" t="s">
        <v>27</v>
      </c>
      <c r="N43" s="163" t="s">
        <v>27</v>
      </c>
      <c r="O43" s="122" t="s">
        <v>709</v>
      </c>
      <c r="P43" s="22" t="s">
        <v>710</v>
      </c>
      <c r="Q43" s="83">
        <f t="shared" si="0"/>
        <v>2020</v>
      </c>
      <c r="R43" s="106"/>
    </row>
    <row r="44" spans="1:18" ht="14.5" hidden="1" customHeight="1" x14ac:dyDescent="0.35">
      <c r="A44" s="118" t="s">
        <v>707</v>
      </c>
      <c r="B44" s="88" t="s">
        <v>708</v>
      </c>
      <c r="C44" s="119" t="s">
        <v>23</v>
      </c>
      <c r="D44" s="119" t="s">
        <v>713</v>
      </c>
      <c r="E44" s="120" t="s">
        <v>42</v>
      </c>
      <c r="F44" s="6" t="s">
        <v>25</v>
      </c>
      <c r="G44" s="143">
        <v>100000</v>
      </c>
      <c r="H44" s="119" t="s">
        <v>709</v>
      </c>
      <c r="I44" s="163" t="s">
        <v>27</v>
      </c>
      <c r="J44" s="163" t="s">
        <v>27</v>
      </c>
      <c r="K44" s="163" t="s">
        <v>27</v>
      </c>
      <c r="L44" s="163" t="s">
        <v>27</v>
      </c>
      <c r="M44" s="163" t="s">
        <v>27</v>
      </c>
      <c r="N44" s="163" t="s">
        <v>27</v>
      </c>
      <c r="O44" s="122" t="s">
        <v>709</v>
      </c>
      <c r="P44" s="22" t="s">
        <v>710</v>
      </c>
      <c r="Q44" s="83">
        <f t="shared" si="0"/>
        <v>2020</v>
      </c>
      <c r="R44" s="106"/>
    </row>
    <row r="45" spans="1:18" ht="14.5" hidden="1" customHeight="1" x14ac:dyDescent="0.35">
      <c r="A45" s="118" t="s">
        <v>714</v>
      </c>
      <c r="B45" s="88" t="s">
        <v>715</v>
      </c>
      <c r="C45" s="119" t="s">
        <v>23</v>
      </c>
      <c r="D45" s="119">
        <v>1</v>
      </c>
      <c r="E45" s="120" t="s">
        <v>716</v>
      </c>
      <c r="F45" s="20" t="s">
        <v>25</v>
      </c>
      <c r="G45" s="143">
        <v>45350</v>
      </c>
      <c r="H45" s="119" t="s">
        <v>709</v>
      </c>
      <c r="I45" s="163" t="s">
        <v>27</v>
      </c>
      <c r="J45" s="163" t="s">
        <v>27</v>
      </c>
      <c r="K45" s="163" t="s">
        <v>27</v>
      </c>
      <c r="L45" s="163" t="s">
        <v>27</v>
      </c>
      <c r="M45" s="163" t="s">
        <v>27</v>
      </c>
      <c r="N45" s="163" t="s">
        <v>27</v>
      </c>
      <c r="O45" s="122" t="s">
        <v>709</v>
      </c>
      <c r="P45" s="22" t="s">
        <v>710</v>
      </c>
      <c r="Q45" s="83">
        <f t="shared" si="0"/>
        <v>2020</v>
      </c>
      <c r="R45" s="106"/>
    </row>
    <row r="46" spans="1:18" ht="14.5" hidden="1" customHeight="1" x14ac:dyDescent="0.35">
      <c r="A46" s="118" t="s">
        <v>714</v>
      </c>
      <c r="B46" s="88" t="s">
        <v>715</v>
      </c>
      <c r="C46" s="119" t="s">
        <v>23</v>
      </c>
      <c r="D46" s="119">
        <v>1</v>
      </c>
      <c r="E46" s="120" t="s">
        <v>716</v>
      </c>
      <c r="F46" s="20" t="s">
        <v>25</v>
      </c>
      <c r="G46" s="143">
        <v>34313</v>
      </c>
      <c r="H46" s="119" t="s">
        <v>709</v>
      </c>
      <c r="I46" s="163" t="s">
        <v>27</v>
      </c>
      <c r="J46" s="163" t="s">
        <v>27</v>
      </c>
      <c r="K46" s="163" t="s">
        <v>27</v>
      </c>
      <c r="L46" s="163" t="s">
        <v>27</v>
      </c>
      <c r="M46" s="163" t="s">
        <v>27</v>
      </c>
      <c r="N46" s="163" t="s">
        <v>27</v>
      </c>
      <c r="O46" s="122" t="s">
        <v>709</v>
      </c>
      <c r="P46" s="22" t="s">
        <v>710</v>
      </c>
      <c r="Q46" s="83">
        <f t="shared" si="0"/>
        <v>2020</v>
      </c>
      <c r="R46" s="106"/>
    </row>
    <row r="47" spans="1:18" ht="14.5" hidden="1" customHeight="1" x14ac:dyDescent="0.35">
      <c r="A47" s="118" t="s">
        <v>714</v>
      </c>
      <c r="B47" s="88" t="s">
        <v>715</v>
      </c>
      <c r="C47" s="119" t="s">
        <v>23</v>
      </c>
      <c r="D47" s="119">
        <v>2</v>
      </c>
      <c r="E47" s="120" t="s">
        <v>717</v>
      </c>
      <c r="F47" s="20" t="s">
        <v>25</v>
      </c>
      <c r="G47" s="143">
        <v>21297.5</v>
      </c>
      <c r="H47" s="119" t="s">
        <v>709</v>
      </c>
      <c r="I47" s="163" t="s">
        <v>27</v>
      </c>
      <c r="J47" s="163" t="s">
        <v>27</v>
      </c>
      <c r="K47" s="163" t="s">
        <v>27</v>
      </c>
      <c r="L47" s="163" t="s">
        <v>27</v>
      </c>
      <c r="M47" s="163" t="s">
        <v>27</v>
      </c>
      <c r="N47" s="163" t="s">
        <v>27</v>
      </c>
      <c r="O47" s="122" t="s">
        <v>709</v>
      </c>
      <c r="P47" s="22" t="s">
        <v>710</v>
      </c>
      <c r="Q47" s="83">
        <f t="shared" si="0"/>
        <v>2020</v>
      </c>
      <c r="R47" s="106"/>
    </row>
    <row r="48" spans="1:18" ht="14.5" hidden="1" customHeight="1" x14ac:dyDescent="0.35">
      <c r="A48" s="118" t="s">
        <v>718</v>
      </c>
      <c r="B48" s="88" t="s">
        <v>719</v>
      </c>
      <c r="C48" s="119" t="s">
        <v>23</v>
      </c>
      <c r="D48" s="119" t="s">
        <v>720</v>
      </c>
      <c r="E48" s="120" t="s">
        <v>684</v>
      </c>
      <c r="F48" s="20" t="s">
        <v>25</v>
      </c>
      <c r="G48" s="143">
        <v>76000</v>
      </c>
      <c r="H48" s="121" t="s">
        <v>663</v>
      </c>
      <c r="I48" s="162"/>
      <c r="J48" s="162"/>
      <c r="K48" s="162"/>
      <c r="L48" s="162"/>
      <c r="M48" s="162"/>
      <c r="N48" s="162"/>
      <c r="O48" s="122" t="s">
        <v>664</v>
      </c>
      <c r="P48" s="22"/>
      <c r="Q48" s="83">
        <f t="shared" si="0"/>
        <v>2020</v>
      </c>
      <c r="R48" s="106"/>
    </row>
    <row r="49" spans="1:18" ht="14.5" hidden="1" customHeight="1" x14ac:dyDescent="0.35">
      <c r="A49" s="118" t="s">
        <v>718</v>
      </c>
      <c r="B49" s="88" t="s">
        <v>719</v>
      </c>
      <c r="C49" s="119" t="s">
        <v>23</v>
      </c>
      <c r="D49" s="119" t="s">
        <v>667</v>
      </c>
      <c r="E49" s="120" t="s">
        <v>684</v>
      </c>
      <c r="F49" s="20" t="s">
        <v>25</v>
      </c>
      <c r="G49" s="143">
        <v>55000</v>
      </c>
      <c r="H49" s="119" t="s">
        <v>709</v>
      </c>
      <c r="I49" s="163" t="s">
        <v>27</v>
      </c>
      <c r="J49" s="163" t="s">
        <v>27</v>
      </c>
      <c r="K49" s="163" t="s">
        <v>27</v>
      </c>
      <c r="L49" s="163" t="s">
        <v>27</v>
      </c>
      <c r="M49" s="163" t="s">
        <v>27</v>
      </c>
      <c r="N49" s="163" t="s">
        <v>27</v>
      </c>
      <c r="O49" s="122" t="s">
        <v>709</v>
      </c>
      <c r="P49" s="22" t="s">
        <v>710</v>
      </c>
      <c r="Q49" s="83">
        <f t="shared" si="0"/>
        <v>2020</v>
      </c>
      <c r="R49" s="106"/>
    </row>
    <row r="50" spans="1:18" ht="14.5" hidden="1" customHeight="1" x14ac:dyDescent="0.35">
      <c r="A50" s="118" t="s">
        <v>718</v>
      </c>
      <c r="B50" s="88" t="s">
        <v>719</v>
      </c>
      <c r="C50" s="119" t="s">
        <v>23</v>
      </c>
      <c r="D50" s="119" t="s">
        <v>721</v>
      </c>
      <c r="E50" s="120" t="s">
        <v>716</v>
      </c>
      <c r="F50" s="20" t="s">
        <v>25</v>
      </c>
      <c r="G50" s="143">
        <v>24000</v>
      </c>
      <c r="H50" s="121" t="s">
        <v>663</v>
      </c>
      <c r="I50" s="162"/>
      <c r="J50" s="162"/>
      <c r="K50" s="162"/>
      <c r="L50" s="162"/>
      <c r="M50" s="162"/>
      <c r="N50" s="162"/>
      <c r="O50" s="122" t="s">
        <v>664</v>
      </c>
      <c r="P50" s="22"/>
      <c r="Q50" s="83">
        <f t="shared" si="0"/>
        <v>2020</v>
      </c>
      <c r="R50" s="106"/>
    </row>
    <row r="51" spans="1:18" ht="14.5" hidden="1" customHeight="1" x14ac:dyDescent="0.35">
      <c r="A51" s="118" t="s">
        <v>718</v>
      </c>
      <c r="B51" s="88" t="s">
        <v>719</v>
      </c>
      <c r="C51" s="119" t="s">
        <v>23</v>
      </c>
      <c r="D51" s="119" t="s">
        <v>722</v>
      </c>
      <c r="E51" s="120" t="s">
        <v>716</v>
      </c>
      <c r="F51" s="20" t="s">
        <v>25</v>
      </c>
      <c r="G51" s="143" t="s">
        <v>723</v>
      </c>
      <c r="H51" s="119" t="s">
        <v>709</v>
      </c>
      <c r="I51" s="163" t="s">
        <v>27</v>
      </c>
      <c r="J51" s="163" t="s">
        <v>27</v>
      </c>
      <c r="K51" s="163" t="s">
        <v>27</v>
      </c>
      <c r="L51" s="163" t="s">
        <v>27</v>
      </c>
      <c r="M51" s="163" t="s">
        <v>27</v>
      </c>
      <c r="N51" s="163" t="s">
        <v>27</v>
      </c>
      <c r="O51" s="122" t="s">
        <v>709</v>
      </c>
      <c r="P51" s="22" t="s">
        <v>710</v>
      </c>
      <c r="Q51" s="83">
        <f t="shared" si="0"/>
        <v>2020</v>
      </c>
      <c r="R51" s="106"/>
    </row>
    <row r="52" spans="1:18" ht="14.5" hidden="1" customHeight="1" x14ac:dyDescent="0.35">
      <c r="A52" s="123" t="s">
        <v>724</v>
      </c>
      <c r="B52" s="124" t="s">
        <v>725</v>
      </c>
      <c r="C52" s="121" t="s">
        <v>37</v>
      </c>
      <c r="D52" s="121">
        <v>1</v>
      </c>
      <c r="E52" s="120" t="s">
        <v>662</v>
      </c>
      <c r="F52" s="89" t="s">
        <v>25</v>
      </c>
      <c r="G52" s="143">
        <v>5940</v>
      </c>
      <c r="H52" s="121" t="s">
        <v>726</v>
      </c>
      <c r="I52" s="122" t="s">
        <v>27</v>
      </c>
      <c r="J52" s="122" t="s">
        <v>27</v>
      </c>
      <c r="K52" s="122" t="s">
        <v>27</v>
      </c>
      <c r="L52" s="122" t="s">
        <v>27</v>
      </c>
      <c r="M52" s="122" t="s">
        <v>27</v>
      </c>
      <c r="N52" s="122" t="s">
        <v>27</v>
      </c>
      <c r="O52" s="122" t="s">
        <v>709</v>
      </c>
      <c r="P52" s="116" t="s">
        <v>727</v>
      </c>
      <c r="Q52" s="83">
        <f t="shared" si="0"/>
        <v>2020</v>
      </c>
      <c r="R52" s="125"/>
    </row>
    <row r="53" spans="1:18" ht="14.5" hidden="1" customHeight="1" x14ac:dyDescent="0.35">
      <c r="A53" s="123" t="s">
        <v>724</v>
      </c>
      <c r="B53" s="124" t="s">
        <v>725</v>
      </c>
      <c r="C53" s="121" t="s">
        <v>37</v>
      </c>
      <c r="D53" s="121">
        <v>2</v>
      </c>
      <c r="E53" s="120" t="s">
        <v>728</v>
      </c>
      <c r="F53" s="89" t="s">
        <v>25</v>
      </c>
      <c r="G53" s="143">
        <v>13500</v>
      </c>
      <c r="H53" s="121" t="s">
        <v>726</v>
      </c>
      <c r="I53" s="122" t="s">
        <v>27</v>
      </c>
      <c r="J53" s="122" t="s">
        <v>27</v>
      </c>
      <c r="K53" s="122" t="s">
        <v>27</v>
      </c>
      <c r="L53" s="122" t="s">
        <v>27</v>
      </c>
      <c r="M53" s="122" t="s">
        <v>27</v>
      </c>
      <c r="N53" s="122" t="s">
        <v>27</v>
      </c>
      <c r="O53" s="122" t="s">
        <v>709</v>
      </c>
      <c r="P53" s="116" t="s">
        <v>727</v>
      </c>
      <c r="Q53" s="83">
        <f t="shared" si="0"/>
        <v>2020</v>
      </c>
      <c r="R53" s="125"/>
    </row>
    <row r="54" spans="1:18" ht="14.5" hidden="1" customHeight="1" x14ac:dyDescent="0.35">
      <c r="A54" s="123" t="s">
        <v>724</v>
      </c>
      <c r="B54" s="124" t="s">
        <v>725</v>
      </c>
      <c r="C54" s="121" t="s">
        <v>37</v>
      </c>
      <c r="D54" s="121">
        <v>3</v>
      </c>
      <c r="E54" s="120" t="s">
        <v>712</v>
      </c>
      <c r="F54" s="89" t="s">
        <v>25</v>
      </c>
      <c r="G54" s="143">
        <v>40000</v>
      </c>
      <c r="H54" s="121" t="s">
        <v>726</v>
      </c>
      <c r="I54" s="122" t="s">
        <v>27</v>
      </c>
      <c r="J54" s="122" t="s">
        <v>27</v>
      </c>
      <c r="K54" s="122" t="s">
        <v>27</v>
      </c>
      <c r="L54" s="122" t="s">
        <v>27</v>
      </c>
      <c r="M54" s="122" t="s">
        <v>27</v>
      </c>
      <c r="N54" s="122" t="s">
        <v>27</v>
      </c>
      <c r="O54" s="122" t="s">
        <v>709</v>
      </c>
      <c r="P54" s="116" t="s">
        <v>727</v>
      </c>
      <c r="Q54" s="83">
        <f t="shared" si="0"/>
        <v>2020</v>
      </c>
      <c r="R54" s="125"/>
    </row>
    <row r="55" spans="1:18" ht="14.5" hidden="1" customHeight="1" x14ac:dyDescent="0.35">
      <c r="A55" s="123" t="s">
        <v>724</v>
      </c>
      <c r="B55" s="124" t="s">
        <v>725</v>
      </c>
      <c r="C55" s="121" t="s">
        <v>37</v>
      </c>
      <c r="D55" s="121">
        <v>4</v>
      </c>
      <c r="E55" s="120" t="s">
        <v>729</v>
      </c>
      <c r="F55" s="89" t="s">
        <v>25</v>
      </c>
      <c r="G55" s="143">
        <v>27000</v>
      </c>
      <c r="H55" s="121" t="s">
        <v>730</v>
      </c>
      <c r="I55" s="122" t="s">
        <v>27</v>
      </c>
      <c r="J55" s="122" t="s">
        <v>27</v>
      </c>
      <c r="K55" s="122" t="s">
        <v>27</v>
      </c>
      <c r="L55" s="122" t="s">
        <v>27</v>
      </c>
      <c r="M55" s="122" t="s">
        <v>27</v>
      </c>
      <c r="N55" s="122" t="s">
        <v>27</v>
      </c>
      <c r="O55" s="122" t="s">
        <v>709</v>
      </c>
      <c r="P55" s="116" t="s">
        <v>727</v>
      </c>
      <c r="Q55" s="83">
        <f t="shared" si="0"/>
        <v>2020</v>
      </c>
      <c r="R55" s="125"/>
    </row>
    <row r="56" spans="1:18" ht="14.5" hidden="1" customHeight="1" x14ac:dyDescent="0.35">
      <c r="A56" s="123" t="s">
        <v>724</v>
      </c>
      <c r="B56" s="124" t="s">
        <v>725</v>
      </c>
      <c r="C56" s="121" t="s">
        <v>37</v>
      </c>
      <c r="D56" s="121">
        <v>5</v>
      </c>
      <c r="E56" s="120" t="s">
        <v>731</v>
      </c>
      <c r="F56" s="89" t="s">
        <v>25</v>
      </c>
      <c r="G56" s="143">
        <v>53883.5</v>
      </c>
      <c r="H56" s="121" t="s">
        <v>663</v>
      </c>
      <c r="I56" s="162"/>
      <c r="J56" s="162"/>
      <c r="K56" s="162"/>
      <c r="L56" s="162"/>
      <c r="M56" s="162"/>
      <c r="N56" s="162"/>
      <c r="O56" s="122" t="s">
        <v>664</v>
      </c>
      <c r="P56" s="22"/>
      <c r="Q56" s="83">
        <f t="shared" si="0"/>
        <v>2020</v>
      </c>
      <c r="R56" s="106"/>
    </row>
    <row r="57" spans="1:18" ht="14.5" hidden="1" customHeight="1" x14ac:dyDescent="0.35">
      <c r="A57" s="123" t="s">
        <v>724</v>
      </c>
      <c r="B57" s="124" t="s">
        <v>725</v>
      </c>
      <c r="C57" s="121" t="s">
        <v>37</v>
      </c>
      <c r="D57" s="121" t="s">
        <v>732</v>
      </c>
      <c r="E57" s="120" t="s">
        <v>731</v>
      </c>
      <c r="F57" s="89" t="s">
        <v>25</v>
      </c>
      <c r="G57" s="143">
        <v>53083.5</v>
      </c>
      <c r="H57" s="121" t="s">
        <v>663</v>
      </c>
      <c r="I57" s="162"/>
      <c r="J57" s="162"/>
      <c r="K57" s="162"/>
      <c r="L57" s="162"/>
      <c r="M57" s="162"/>
      <c r="N57" s="162"/>
      <c r="O57" s="122" t="s">
        <v>664</v>
      </c>
      <c r="P57" s="22"/>
      <c r="Q57" s="83">
        <f t="shared" si="0"/>
        <v>2020</v>
      </c>
      <c r="R57" s="106"/>
    </row>
    <row r="58" spans="1:18" ht="14.5" hidden="1" customHeight="1" x14ac:dyDescent="0.35">
      <c r="A58" s="123" t="s">
        <v>724</v>
      </c>
      <c r="B58" s="124" t="s">
        <v>725</v>
      </c>
      <c r="C58" s="121" t="s">
        <v>37</v>
      </c>
      <c r="D58" s="121" t="s">
        <v>733</v>
      </c>
      <c r="E58" s="120" t="s">
        <v>731</v>
      </c>
      <c r="F58" s="89" t="s">
        <v>25</v>
      </c>
      <c r="G58" s="143">
        <v>45083.5</v>
      </c>
      <c r="H58" s="121" t="s">
        <v>726</v>
      </c>
      <c r="I58" s="122" t="s">
        <v>27</v>
      </c>
      <c r="J58" s="122" t="s">
        <v>27</v>
      </c>
      <c r="K58" s="122" t="s">
        <v>27</v>
      </c>
      <c r="L58" s="122" t="s">
        <v>27</v>
      </c>
      <c r="M58" s="122" t="s">
        <v>27</v>
      </c>
      <c r="N58" s="122" t="s">
        <v>27</v>
      </c>
      <c r="O58" s="122" t="s">
        <v>709</v>
      </c>
      <c r="P58" s="116" t="s">
        <v>727</v>
      </c>
      <c r="Q58" s="83">
        <f t="shared" si="0"/>
        <v>2020</v>
      </c>
      <c r="R58" s="106"/>
    </row>
    <row r="59" spans="1:18" ht="14.5" hidden="1" customHeight="1" x14ac:dyDescent="0.35">
      <c r="A59" s="123" t="s">
        <v>724</v>
      </c>
      <c r="B59" s="124" t="s">
        <v>725</v>
      </c>
      <c r="C59" s="121" t="s">
        <v>37</v>
      </c>
      <c r="D59" s="121">
        <v>6</v>
      </c>
      <c r="E59" s="120" t="s">
        <v>734</v>
      </c>
      <c r="F59" s="89" t="s">
        <v>25</v>
      </c>
      <c r="G59" s="143">
        <v>25500</v>
      </c>
      <c r="H59" s="121" t="s">
        <v>663</v>
      </c>
      <c r="I59" s="162"/>
      <c r="J59" s="162"/>
      <c r="K59" s="162"/>
      <c r="L59" s="162"/>
      <c r="M59" s="162"/>
      <c r="N59" s="162"/>
      <c r="O59" s="122" t="s">
        <v>664</v>
      </c>
      <c r="P59" s="22"/>
      <c r="Q59" s="83">
        <f t="shared" si="0"/>
        <v>2020</v>
      </c>
      <c r="R59" s="106"/>
    </row>
    <row r="60" spans="1:18" ht="14.5" hidden="1" customHeight="1" x14ac:dyDescent="0.35">
      <c r="A60" s="123" t="s">
        <v>724</v>
      </c>
      <c r="B60" s="124" t="s">
        <v>725</v>
      </c>
      <c r="C60" s="121" t="s">
        <v>37</v>
      </c>
      <c r="D60" s="121" t="s">
        <v>735</v>
      </c>
      <c r="E60" s="120" t="s">
        <v>736</v>
      </c>
      <c r="F60" s="89" t="s">
        <v>25</v>
      </c>
      <c r="G60" s="143">
        <v>36000</v>
      </c>
      <c r="H60" s="121" t="s">
        <v>726</v>
      </c>
      <c r="I60" s="122" t="s">
        <v>27</v>
      </c>
      <c r="J60" s="122" t="s">
        <v>27</v>
      </c>
      <c r="K60" s="122" t="s">
        <v>27</v>
      </c>
      <c r="L60" s="122" t="s">
        <v>27</v>
      </c>
      <c r="M60" s="122" t="s">
        <v>27</v>
      </c>
      <c r="N60" s="122" t="s">
        <v>27</v>
      </c>
      <c r="O60" s="122" t="s">
        <v>709</v>
      </c>
      <c r="P60" s="116" t="s">
        <v>727</v>
      </c>
      <c r="Q60" s="83">
        <f t="shared" si="0"/>
        <v>2020</v>
      </c>
      <c r="R60" s="106"/>
    </row>
    <row r="61" spans="1:18" ht="14.5" hidden="1" customHeight="1" x14ac:dyDescent="0.35">
      <c r="A61" s="123" t="s">
        <v>724</v>
      </c>
      <c r="B61" s="124" t="s">
        <v>725</v>
      </c>
      <c r="C61" s="121" t="s">
        <v>37</v>
      </c>
      <c r="D61" s="121">
        <v>7</v>
      </c>
      <c r="E61" s="120" t="s">
        <v>737</v>
      </c>
      <c r="F61" s="89" t="s">
        <v>25</v>
      </c>
      <c r="G61" s="143">
        <v>36000</v>
      </c>
      <c r="H61" s="121" t="s">
        <v>730</v>
      </c>
      <c r="I61" s="122" t="s">
        <v>27</v>
      </c>
      <c r="J61" s="122" t="s">
        <v>27</v>
      </c>
      <c r="K61" s="122" t="s">
        <v>27</v>
      </c>
      <c r="L61" s="122" t="s">
        <v>27</v>
      </c>
      <c r="M61" s="122" t="s">
        <v>27</v>
      </c>
      <c r="N61" s="122" t="s">
        <v>27</v>
      </c>
      <c r="O61" s="122" t="s">
        <v>709</v>
      </c>
      <c r="P61" s="116" t="s">
        <v>727</v>
      </c>
      <c r="Q61" s="83">
        <f t="shared" si="0"/>
        <v>2020</v>
      </c>
      <c r="R61" s="106"/>
    </row>
    <row r="62" spans="1:18" ht="14.5" hidden="1" customHeight="1" x14ac:dyDescent="0.35">
      <c r="A62" s="123" t="s">
        <v>738</v>
      </c>
      <c r="B62" s="124" t="s">
        <v>739</v>
      </c>
      <c r="C62" s="121" t="s">
        <v>42</v>
      </c>
      <c r="D62" s="121">
        <v>1</v>
      </c>
      <c r="E62" s="120" t="s">
        <v>740</v>
      </c>
      <c r="F62" s="6" t="s">
        <v>25</v>
      </c>
      <c r="G62" s="143">
        <v>25000</v>
      </c>
      <c r="H62" s="121" t="s">
        <v>663</v>
      </c>
      <c r="I62" s="162"/>
      <c r="J62" s="162"/>
      <c r="K62" s="162"/>
      <c r="L62" s="162"/>
      <c r="M62" s="162"/>
      <c r="N62" s="162"/>
      <c r="O62" s="122" t="s">
        <v>664</v>
      </c>
      <c r="P62" s="22"/>
      <c r="Q62" s="83">
        <f t="shared" si="0"/>
        <v>2020</v>
      </c>
      <c r="R62" s="106"/>
    </row>
    <row r="63" spans="1:18" ht="14.5" hidden="1" customHeight="1" x14ac:dyDescent="0.35">
      <c r="A63" s="123" t="s">
        <v>738</v>
      </c>
      <c r="B63" s="124" t="s">
        <v>739</v>
      </c>
      <c r="C63" s="121" t="s">
        <v>42</v>
      </c>
      <c r="D63" s="121">
        <v>2</v>
      </c>
      <c r="E63" s="120" t="s">
        <v>741</v>
      </c>
      <c r="F63" s="6" t="s">
        <v>25</v>
      </c>
      <c r="G63" s="143">
        <v>20000</v>
      </c>
      <c r="H63" s="121" t="s">
        <v>726</v>
      </c>
      <c r="I63" s="122" t="s">
        <v>27</v>
      </c>
      <c r="J63" s="122" t="s">
        <v>27</v>
      </c>
      <c r="K63" s="122" t="s">
        <v>27</v>
      </c>
      <c r="L63" s="122" t="s">
        <v>27</v>
      </c>
      <c r="M63" s="122" t="s">
        <v>27</v>
      </c>
      <c r="N63" s="122" t="s">
        <v>27</v>
      </c>
      <c r="O63" s="122" t="s">
        <v>709</v>
      </c>
      <c r="P63" s="22"/>
      <c r="Q63" s="83">
        <f t="shared" si="0"/>
        <v>2020</v>
      </c>
      <c r="R63" s="106"/>
    </row>
    <row r="64" spans="1:18" ht="14.5" hidden="1" customHeight="1" x14ac:dyDescent="0.35">
      <c r="A64" s="123" t="s">
        <v>742</v>
      </c>
      <c r="B64" s="124" t="s">
        <v>743</v>
      </c>
      <c r="C64" s="121" t="s">
        <v>37</v>
      </c>
      <c r="D64" s="121">
        <v>2</v>
      </c>
      <c r="E64" s="120" t="s">
        <v>744</v>
      </c>
      <c r="F64" s="6" t="s">
        <v>25</v>
      </c>
      <c r="G64" s="143">
        <v>31000</v>
      </c>
      <c r="H64" s="121" t="s">
        <v>730</v>
      </c>
      <c r="I64" s="122" t="s">
        <v>27</v>
      </c>
      <c r="J64" s="122" t="s">
        <v>27</v>
      </c>
      <c r="K64" s="122" t="s">
        <v>27</v>
      </c>
      <c r="L64" s="122" t="s">
        <v>27</v>
      </c>
      <c r="M64" s="122" t="s">
        <v>27</v>
      </c>
      <c r="N64" s="122" t="s">
        <v>27</v>
      </c>
      <c r="O64" s="122" t="s">
        <v>745</v>
      </c>
      <c r="P64" s="116"/>
      <c r="Q64" s="83">
        <f t="shared" si="0"/>
        <v>2020</v>
      </c>
      <c r="R64" s="106"/>
    </row>
    <row r="65" spans="1:18" ht="14.5" hidden="1" customHeight="1" x14ac:dyDescent="0.35">
      <c r="A65" s="123" t="s">
        <v>746</v>
      </c>
      <c r="B65" s="124" t="s">
        <v>747</v>
      </c>
      <c r="C65" s="121" t="s">
        <v>42</v>
      </c>
      <c r="D65" s="121">
        <v>1</v>
      </c>
      <c r="E65" s="120" t="s">
        <v>748</v>
      </c>
      <c r="F65" s="6" t="s">
        <v>25</v>
      </c>
      <c r="G65" s="143">
        <v>162250</v>
      </c>
      <c r="H65" s="121" t="s">
        <v>749</v>
      </c>
      <c r="I65" s="162"/>
      <c r="J65" s="162"/>
      <c r="K65" s="162"/>
      <c r="L65" s="162"/>
      <c r="M65" s="162"/>
      <c r="N65" s="162"/>
      <c r="O65" s="122" t="s">
        <v>664</v>
      </c>
      <c r="P65" s="22"/>
      <c r="Q65" s="83">
        <f t="shared" si="0"/>
        <v>2020</v>
      </c>
      <c r="R65" s="106"/>
    </row>
    <row r="66" spans="1:18" ht="14.5" hidden="1" customHeight="1" x14ac:dyDescent="0.35">
      <c r="A66" s="118" t="s">
        <v>750</v>
      </c>
      <c r="B66" s="88" t="s">
        <v>751</v>
      </c>
      <c r="C66" s="119" t="s">
        <v>23</v>
      </c>
      <c r="D66" s="119">
        <v>1</v>
      </c>
      <c r="E66" s="120" t="s">
        <v>752</v>
      </c>
      <c r="F66" s="89" t="s">
        <v>25</v>
      </c>
      <c r="G66" s="143">
        <v>-31668</v>
      </c>
      <c r="H66" s="119" t="s">
        <v>749</v>
      </c>
      <c r="I66" s="162"/>
      <c r="J66" s="162"/>
      <c r="K66" s="162"/>
      <c r="L66" s="162"/>
      <c r="M66" s="162"/>
      <c r="N66" s="162"/>
      <c r="O66" s="122" t="s">
        <v>664</v>
      </c>
      <c r="P66" s="22"/>
      <c r="Q66" s="83">
        <f t="shared" si="0"/>
        <v>2020</v>
      </c>
      <c r="R66" s="106"/>
    </row>
    <row r="67" spans="1:18" ht="14.5" hidden="1" customHeight="1" x14ac:dyDescent="0.35">
      <c r="A67" s="118" t="s">
        <v>750</v>
      </c>
      <c r="B67" s="88" t="s">
        <v>751</v>
      </c>
      <c r="C67" s="119" t="s">
        <v>23</v>
      </c>
      <c r="D67" s="119">
        <v>2</v>
      </c>
      <c r="E67" s="120" t="s">
        <v>753</v>
      </c>
      <c r="F67" s="89" t="s">
        <v>25</v>
      </c>
      <c r="G67" s="143" t="s">
        <v>754</v>
      </c>
      <c r="H67" s="121" t="s">
        <v>663</v>
      </c>
      <c r="I67" s="162"/>
      <c r="J67" s="162"/>
      <c r="K67" s="162"/>
      <c r="L67" s="162"/>
      <c r="M67" s="162"/>
      <c r="N67" s="162"/>
      <c r="O67" s="122" t="s">
        <v>664</v>
      </c>
      <c r="P67" s="22"/>
      <c r="Q67" s="83">
        <f t="shared" ref="Q67:Q130" si="1">IFERROR(2000+VALUE(LEFT(A67,2)),"")</f>
        <v>2020</v>
      </c>
      <c r="R67" s="106"/>
    </row>
    <row r="68" spans="1:18" ht="14.5" customHeight="1" x14ac:dyDescent="0.35">
      <c r="A68" s="118" t="s">
        <v>750</v>
      </c>
      <c r="B68" s="88" t="s">
        <v>751</v>
      </c>
      <c r="C68" s="119" t="s">
        <v>23</v>
      </c>
      <c r="D68" s="119" t="s">
        <v>755</v>
      </c>
      <c r="E68" s="126" t="s">
        <v>753</v>
      </c>
      <c r="F68" s="89" t="s">
        <v>25</v>
      </c>
      <c r="G68" s="143">
        <v>112900</v>
      </c>
      <c r="H68" s="119" t="s">
        <v>726</v>
      </c>
      <c r="I68" s="163" t="s">
        <v>27</v>
      </c>
      <c r="J68" s="163" t="s">
        <v>27</v>
      </c>
      <c r="K68" s="163" t="s">
        <v>27</v>
      </c>
      <c r="L68" s="122" t="s">
        <v>27</v>
      </c>
      <c r="M68" s="163" t="s">
        <v>27</v>
      </c>
      <c r="N68" s="6" t="s">
        <v>28</v>
      </c>
      <c r="O68" s="122" t="s">
        <v>756</v>
      </c>
      <c r="P68" s="164" t="s">
        <v>757</v>
      </c>
      <c r="Q68" s="83">
        <f t="shared" si="1"/>
        <v>2020</v>
      </c>
      <c r="R68" s="125">
        <v>45126</v>
      </c>
    </row>
    <row r="69" spans="1:18" ht="14.5" hidden="1" customHeight="1" x14ac:dyDescent="0.35">
      <c r="A69" s="118" t="s">
        <v>750</v>
      </c>
      <c r="B69" s="88" t="s">
        <v>751</v>
      </c>
      <c r="C69" s="119" t="s">
        <v>23</v>
      </c>
      <c r="D69" s="119">
        <v>3</v>
      </c>
      <c r="E69" s="120" t="s">
        <v>758</v>
      </c>
      <c r="F69" s="89" t="s">
        <v>25</v>
      </c>
      <c r="G69" s="143" t="s">
        <v>759</v>
      </c>
      <c r="H69" s="121" t="s">
        <v>663</v>
      </c>
      <c r="I69" s="162"/>
      <c r="J69" s="162"/>
      <c r="K69" s="162"/>
      <c r="L69" s="162"/>
      <c r="M69" s="162"/>
      <c r="N69" s="162"/>
      <c r="O69" s="122" t="s">
        <v>664</v>
      </c>
      <c r="P69" s="22"/>
      <c r="Q69" s="83">
        <f t="shared" si="1"/>
        <v>2020</v>
      </c>
      <c r="R69" s="106"/>
    </row>
    <row r="70" spans="1:18" ht="14.5" customHeight="1" x14ac:dyDescent="0.35">
      <c r="A70" s="118" t="s">
        <v>750</v>
      </c>
      <c r="B70" s="88" t="s">
        <v>751</v>
      </c>
      <c r="C70" s="119" t="s">
        <v>23</v>
      </c>
      <c r="D70" s="119" t="s">
        <v>671</v>
      </c>
      <c r="E70" s="126" t="s">
        <v>758</v>
      </c>
      <c r="F70" s="89" t="s">
        <v>25</v>
      </c>
      <c r="G70" s="143">
        <v>168750</v>
      </c>
      <c r="H70" s="119" t="s">
        <v>726</v>
      </c>
      <c r="I70" s="163" t="s">
        <v>27</v>
      </c>
      <c r="J70" s="163" t="s">
        <v>27</v>
      </c>
      <c r="K70" s="163" t="s">
        <v>27</v>
      </c>
      <c r="L70" s="122" t="s">
        <v>27</v>
      </c>
      <c r="M70" s="163" t="s">
        <v>27</v>
      </c>
      <c r="N70" s="6" t="s">
        <v>28</v>
      </c>
      <c r="O70" s="122" t="s">
        <v>756</v>
      </c>
      <c r="P70" s="164" t="s">
        <v>757</v>
      </c>
      <c r="Q70" s="83">
        <f t="shared" si="1"/>
        <v>2020</v>
      </c>
      <c r="R70" s="125">
        <v>45126</v>
      </c>
    </row>
    <row r="71" spans="1:18" ht="14.5" hidden="1" customHeight="1" x14ac:dyDescent="0.35">
      <c r="A71" s="118" t="s">
        <v>750</v>
      </c>
      <c r="B71" s="88" t="s">
        <v>751</v>
      </c>
      <c r="C71" s="119" t="s">
        <v>23</v>
      </c>
      <c r="D71" s="119">
        <v>4</v>
      </c>
      <c r="E71" s="120" t="s">
        <v>760</v>
      </c>
      <c r="F71" s="89" t="s">
        <v>25</v>
      </c>
      <c r="G71" s="143" t="s">
        <v>759</v>
      </c>
      <c r="H71" s="121" t="s">
        <v>663</v>
      </c>
      <c r="I71" s="162"/>
      <c r="J71" s="162"/>
      <c r="K71" s="162"/>
      <c r="L71" s="162"/>
      <c r="M71" s="162"/>
      <c r="N71" s="162"/>
      <c r="O71" s="122" t="s">
        <v>664</v>
      </c>
      <c r="P71" s="22"/>
      <c r="Q71" s="83">
        <f t="shared" si="1"/>
        <v>2020</v>
      </c>
      <c r="R71" s="106"/>
    </row>
    <row r="72" spans="1:18" ht="14.5" hidden="1" customHeight="1" x14ac:dyDescent="0.35">
      <c r="A72" s="118" t="s">
        <v>750</v>
      </c>
      <c r="B72" s="88" t="s">
        <v>751</v>
      </c>
      <c r="C72" s="119" t="s">
        <v>23</v>
      </c>
      <c r="D72" s="119" t="s">
        <v>673</v>
      </c>
      <c r="E72" s="120" t="s">
        <v>760</v>
      </c>
      <c r="F72" s="89" t="s">
        <v>25</v>
      </c>
      <c r="G72" s="143">
        <v>25000</v>
      </c>
      <c r="H72" s="119" t="s">
        <v>709</v>
      </c>
      <c r="I72" s="122" t="s">
        <v>27</v>
      </c>
      <c r="J72" s="122" t="s">
        <v>27</v>
      </c>
      <c r="K72" s="122" t="s">
        <v>27</v>
      </c>
      <c r="L72" s="122" t="s">
        <v>27</v>
      </c>
      <c r="M72" s="122" t="s">
        <v>27</v>
      </c>
      <c r="N72" s="122" t="s">
        <v>27</v>
      </c>
      <c r="O72" s="122" t="s">
        <v>745</v>
      </c>
      <c r="P72" s="22"/>
      <c r="Q72" s="83">
        <f t="shared" si="1"/>
        <v>2020</v>
      </c>
      <c r="R72" s="106"/>
    </row>
    <row r="73" spans="1:18" ht="14.5" hidden="1" customHeight="1" x14ac:dyDescent="0.35">
      <c r="A73" s="118" t="s">
        <v>750</v>
      </c>
      <c r="B73" s="88" t="s">
        <v>751</v>
      </c>
      <c r="C73" s="119" t="s">
        <v>23</v>
      </c>
      <c r="D73" s="119">
        <v>5</v>
      </c>
      <c r="E73" s="120" t="s">
        <v>753</v>
      </c>
      <c r="F73" s="89" t="s">
        <v>25</v>
      </c>
      <c r="G73" s="143">
        <v>18000</v>
      </c>
      <c r="H73" s="119" t="s">
        <v>709</v>
      </c>
      <c r="I73" s="122" t="s">
        <v>27</v>
      </c>
      <c r="J73" s="122" t="s">
        <v>27</v>
      </c>
      <c r="K73" s="122" t="s">
        <v>27</v>
      </c>
      <c r="L73" s="122" t="s">
        <v>27</v>
      </c>
      <c r="M73" s="122" t="s">
        <v>27</v>
      </c>
      <c r="N73" s="122" t="s">
        <v>27</v>
      </c>
      <c r="O73" s="122" t="s">
        <v>709</v>
      </c>
      <c r="P73" s="22" t="s">
        <v>710</v>
      </c>
      <c r="Q73" s="83">
        <f t="shared" si="1"/>
        <v>2020</v>
      </c>
      <c r="R73" s="106"/>
    </row>
    <row r="74" spans="1:18" ht="14.5" hidden="1" customHeight="1" x14ac:dyDescent="0.35">
      <c r="A74" s="118" t="s">
        <v>750</v>
      </c>
      <c r="B74" s="88" t="s">
        <v>751</v>
      </c>
      <c r="C74" s="119" t="s">
        <v>23</v>
      </c>
      <c r="D74" s="119">
        <v>6</v>
      </c>
      <c r="E74" s="120" t="s">
        <v>753</v>
      </c>
      <c r="F74" s="89" t="s">
        <v>25</v>
      </c>
      <c r="G74" s="143">
        <v>27475</v>
      </c>
      <c r="H74" s="119" t="s">
        <v>709</v>
      </c>
      <c r="I74" s="122" t="s">
        <v>27</v>
      </c>
      <c r="J74" s="122" t="s">
        <v>27</v>
      </c>
      <c r="K74" s="122" t="s">
        <v>27</v>
      </c>
      <c r="L74" s="122" t="s">
        <v>27</v>
      </c>
      <c r="M74" s="122" t="s">
        <v>27</v>
      </c>
      <c r="N74" s="122" t="s">
        <v>27</v>
      </c>
      <c r="O74" s="122" t="s">
        <v>709</v>
      </c>
      <c r="P74" s="22" t="s">
        <v>710</v>
      </c>
      <c r="Q74" s="83">
        <f t="shared" si="1"/>
        <v>2020</v>
      </c>
      <c r="R74" s="106"/>
    </row>
    <row r="75" spans="1:18" ht="14.5" hidden="1" customHeight="1" x14ac:dyDescent="0.35">
      <c r="A75" s="118" t="s">
        <v>750</v>
      </c>
      <c r="B75" s="88" t="s">
        <v>751</v>
      </c>
      <c r="C75" s="119" t="s">
        <v>23</v>
      </c>
      <c r="D75" s="119">
        <v>7</v>
      </c>
      <c r="E75" s="120" t="s">
        <v>753</v>
      </c>
      <c r="F75" s="89" t="s">
        <v>25</v>
      </c>
      <c r="G75" s="143">
        <v>24000</v>
      </c>
      <c r="H75" s="119" t="s">
        <v>709</v>
      </c>
      <c r="I75" s="122" t="s">
        <v>27</v>
      </c>
      <c r="J75" s="122" t="s">
        <v>27</v>
      </c>
      <c r="K75" s="122" t="s">
        <v>27</v>
      </c>
      <c r="L75" s="122" t="s">
        <v>27</v>
      </c>
      <c r="M75" s="122" t="s">
        <v>27</v>
      </c>
      <c r="N75" s="122" t="s">
        <v>27</v>
      </c>
      <c r="O75" s="122" t="s">
        <v>709</v>
      </c>
      <c r="P75" s="22" t="s">
        <v>710</v>
      </c>
      <c r="Q75" s="83">
        <f t="shared" si="1"/>
        <v>2020</v>
      </c>
      <c r="R75" s="106"/>
    </row>
    <row r="76" spans="1:18" ht="14.5" hidden="1" customHeight="1" x14ac:dyDescent="0.35">
      <c r="A76" s="123" t="s">
        <v>761</v>
      </c>
      <c r="B76" s="124" t="s">
        <v>762</v>
      </c>
      <c r="C76" s="121" t="s">
        <v>48</v>
      </c>
      <c r="D76" s="121">
        <v>1</v>
      </c>
      <c r="E76" s="120" t="s">
        <v>763</v>
      </c>
      <c r="F76" s="6" t="s">
        <v>25</v>
      </c>
      <c r="G76" s="143">
        <v>28000</v>
      </c>
      <c r="H76" s="121" t="s">
        <v>663</v>
      </c>
      <c r="I76" s="162"/>
      <c r="J76" s="162"/>
      <c r="K76" s="162"/>
      <c r="L76" s="162"/>
      <c r="M76" s="162"/>
      <c r="N76" s="162"/>
      <c r="O76" s="122" t="s">
        <v>664</v>
      </c>
      <c r="P76" s="22"/>
      <c r="Q76" s="83">
        <f t="shared" si="1"/>
        <v>2020</v>
      </c>
      <c r="R76" s="106"/>
    </row>
    <row r="77" spans="1:18" ht="14.5" hidden="1" customHeight="1" x14ac:dyDescent="0.35">
      <c r="A77" s="123" t="s">
        <v>761</v>
      </c>
      <c r="B77" s="124" t="s">
        <v>762</v>
      </c>
      <c r="C77" s="121" t="s">
        <v>48</v>
      </c>
      <c r="D77" s="121" t="s">
        <v>667</v>
      </c>
      <c r="E77" s="120" t="s">
        <v>764</v>
      </c>
      <c r="F77" s="6" t="s">
        <v>25</v>
      </c>
      <c r="G77" s="143">
        <v>26000</v>
      </c>
      <c r="H77" s="121" t="s">
        <v>663</v>
      </c>
      <c r="I77" s="162"/>
      <c r="J77" s="162"/>
      <c r="K77" s="162"/>
      <c r="L77" s="162"/>
      <c r="M77" s="162"/>
      <c r="N77" s="162"/>
      <c r="O77" s="122" t="s">
        <v>664</v>
      </c>
      <c r="P77" s="22"/>
      <c r="Q77" s="83">
        <f t="shared" si="1"/>
        <v>2020</v>
      </c>
      <c r="R77" s="106"/>
    </row>
    <row r="78" spans="1:18" ht="14.5" hidden="1" customHeight="1" x14ac:dyDescent="0.35">
      <c r="A78" s="123" t="s">
        <v>761</v>
      </c>
      <c r="B78" s="124" t="s">
        <v>762</v>
      </c>
      <c r="C78" s="121" t="s">
        <v>48</v>
      </c>
      <c r="D78" s="121">
        <v>2</v>
      </c>
      <c r="E78" s="120" t="s">
        <v>765</v>
      </c>
      <c r="F78" s="6" t="s">
        <v>25</v>
      </c>
      <c r="G78" s="143">
        <v>112500</v>
      </c>
      <c r="H78" s="121" t="s">
        <v>663</v>
      </c>
      <c r="I78" s="162"/>
      <c r="J78" s="162"/>
      <c r="K78" s="162"/>
      <c r="L78" s="162"/>
      <c r="M78" s="162"/>
      <c r="N78" s="162"/>
      <c r="O78" s="122" t="s">
        <v>664</v>
      </c>
      <c r="P78" s="22"/>
      <c r="Q78" s="83">
        <f t="shared" si="1"/>
        <v>2020</v>
      </c>
      <c r="R78" s="106"/>
    </row>
    <row r="79" spans="1:18" ht="14.5" hidden="1" customHeight="1" x14ac:dyDescent="0.35">
      <c r="A79" s="123" t="s">
        <v>761</v>
      </c>
      <c r="B79" s="124" t="s">
        <v>762</v>
      </c>
      <c r="C79" s="121" t="s">
        <v>48</v>
      </c>
      <c r="D79" s="121" t="s">
        <v>766</v>
      </c>
      <c r="E79" s="120" t="s">
        <v>765</v>
      </c>
      <c r="F79" s="6" t="s">
        <v>25</v>
      </c>
      <c r="G79" s="143">
        <v>101250</v>
      </c>
      <c r="H79" s="121" t="s">
        <v>730</v>
      </c>
      <c r="I79" s="122" t="s">
        <v>27</v>
      </c>
      <c r="J79" s="122" t="s">
        <v>27</v>
      </c>
      <c r="K79" s="122" t="s">
        <v>27</v>
      </c>
      <c r="L79" s="122" t="s">
        <v>27</v>
      </c>
      <c r="M79" s="122" t="s">
        <v>27</v>
      </c>
      <c r="N79" s="122" t="s">
        <v>27</v>
      </c>
      <c r="O79" s="122" t="s">
        <v>745</v>
      </c>
      <c r="P79" s="75"/>
      <c r="Q79" s="83">
        <f t="shared" si="1"/>
        <v>2020</v>
      </c>
      <c r="R79" s="106"/>
    </row>
    <row r="80" spans="1:18" ht="14.5" hidden="1" customHeight="1" x14ac:dyDescent="0.35">
      <c r="A80" s="123" t="s">
        <v>761</v>
      </c>
      <c r="B80" s="124" t="s">
        <v>762</v>
      </c>
      <c r="C80" s="121" t="s">
        <v>48</v>
      </c>
      <c r="D80" s="121" t="s">
        <v>721</v>
      </c>
      <c r="E80" s="120" t="s">
        <v>767</v>
      </c>
      <c r="F80" s="6" t="s">
        <v>25</v>
      </c>
      <c r="G80" s="143">
        <v>101250</v>
      </c>
      <c r="H80" s="121" t="s">
        <v>730</v>
      </c>
      <c r="I80" s="122" t="s">
        <v>27</v>
      </c>
      <c r="J80" s="122" t="s">
        <v>27</v>
      </c>
      <c r="K80" s="122" t="s">
        <v>27</v>
      </c>
      <c r="L80" s="122" t="s">
        <v>27</v>
      </c>
      <c r="M80" s="122" t="s">
        <v>27</v>
      </c>
      <c r="N80" s="122" t="s">
        <v>27</v>
      </c>
      <c r="O80" s="122" t="s">
        <v>745</v>
      </c>
      <c r="P80" s="75"/>
      <c r="Q80" s="83">
        <f t="shared" si="1"/>
        <v>2020</v>
      </c>
      <c r="R80" s="106"/>
    </row>
    <row r="81" spans="1:18" ht="14.5" hidden="1" customHeight="1" x14ac:dyDescent="0.35">
      <c r="A81" s="123" t="s">
        <v>761</v>
      </c>
      <c r="B81" s="124" t="s">
        <v>762</v>
      </c>
      <c r="C81" s="121" t="s">
        <v>48</v>
      </c>
      <c r="D81" s="121">
        <v>3</v>
      </c>
      <c r="E81" s="120" t="s">
        <v>768</v>
      </c>
      <c r="F81" s="6" t="s">
        <v>25</v>
      </c>
      <c r="G81" s="143">
        <v>220000</v>
      </c>
      <c r="H81" s="121" t="s">
        <v>663</v>
      </c>
      <c r="I81" s="162"/>
      <c r="J81" s="162"/>
      <c r="K81" s="162"/>
      <c r="L81" s="162"/>
      <c r="M81" s="162"/>
      <c r="N81" s="162"/>
      <c r="O81" s="122" t="s">
        <v>664</v>
      </c>
      <c r="P81" s="22"/>
      <c r="Q81" s="83">
        <f t="shared" si="1"/>
        <v>2020</v>
      </c>
      <c r="R81" s="106"/>
    </row>
    <row r="82" spans="1:18" ht="14.5" hidden="1" customHeight="1" x14ac:dyDescent="0.35">
      <c r="A82" s="123" t="s">
        <v>761</v>
      </c>
      <c r="B82" s="124" t="s">
        <v>762</v>
      </c>
      <c r="C82" s="121" t="s">
        <v>48</v>
      </c>
      <c r="D82" s="121" t="s">
        <v>671</v>
      </c>
      <c r="E82" s="120" t="s">
        <v>768</v>
      </c>
      <c r="F82" s="6" t="s">
        <v>25</v>
      </c>
      <c r="G82" s="143">
        <v>200000</v>
      </c>
      <c r="H82" s="121" t="s">
        <v>663</v>
      </c>
      <c r="I82" s="162"/>
      <c r="J82" s="162"/>
      <c r="K82" s="162"/>
      <c r="L82" s="162"/>
      <c r="M82" s="162"/>
      <c r="N82" s="162"/>
      <c r="O82" s="122" t="s">
        <v>664</v>
      </c>
      <c r="P82" s="22"/>
      <c r="Q82" s="83">
        <f t="shared" si="1"/>
        <v>2020</v>
      </c>
      <c r="R82" s="106"/>
    </row>
    <row r="83" spans="1:18" ht="14.5" hidden="1" customHeight="1" x14ac:dyDescent="0.35">
      <c r="A83" s="123" t="s">
        <v>761</v>
      </c>
      <c r="B83" s="124" t="s">
        <v>762</v>
      </c>
      <c r="C83" s="121" t="s">
        <v>48</v>
      </c>
      <c r="D83" s="121" t="s">
        <v>769</v>
      </c>
      <c r="E83" s="120" t="s">
        <v>768</v>
      </c>
      <c r="F83" s="6" t="s">
        <v>25</v>
      </c>
      <c r="G83" s="143">
        <v>160000</v>
      </c>
      <c r="H83" s="121" t="s">
        <v>730</v>
      </c>
      <c r="I83" s="122" t="s">
        <v>27</v>
      </c>
      <c r="J83" s="122" t="s">
        <v>27</v>
      </c>
      <c r="K83" s="122" t="s">
        <v>27</v>
      </c>
      <c r="L83" s="122" t="s">
        <v>27</v>
      </c>
      <c r="M83" s="122" t="s">
        <v>27</v>
      </c>
      <c r="N83" s="122" t="s">
        <v>27</v>
      </c>
      <c r="O83" s="122" t="s">
        <v>745</v>
      </c>
      <c r="P83" s="75"/>
      <c r="Q83" s="83">
        <f t="shared" si="1"/>
        <v>2020</v>
      </c>
      <c r="R83" s="106"/>
    </row>
    <row r="84" spans="1:18" ht="14.5" hidden="1" customHeight="1" x14ac:dyDescent="0.35">
      <c r="A84" s="123" t="s">
        <v>770</v>
      </c>
      <c r="B84" s="124" t="s">
        <v>771</v>
      </c>
      <c r="C84" s="121" t="s">
        <v>66</v>
      </c>
      <c r="D84" s="121" t="s">
        <v>755</v>
      </c>
      <c r="E84" s="120" t="s">
        <v>772</v>
      </c>
      <c r="F84" s="6" t="s">
        <v>25</v>
      </c>
      <c r="G84" s="143">
        <v>67500</v>
      </c>
      <c r="H84" s="121" t="s">
        <v>749</v>
      </c>
      <c r="I84" s="162"/>
      <c r="J84" s="162"/>
      <c r="K84" s="162"/>
      <c r="L84" s="162"/>
      <c r="M84" s="162"/>
      <c r="N84" s="162"/>
      <c r="O84" s="122" t="s">
        <v>664</v>
      </c>
      <c r="P84" s="6"/>
      <c r="Q84" s="83">
        <f t="shared" si="1"/>
        <v>2021</v>
      </c>
      <c r="R84" s="106"/>
    </row>
    <row r="85" spans="1:18" ht="14.5" customHeight="1" x14ac:dyDescent="0.35">
      <c r="A85" s="123" t="s">
        <v>770</v>
      </c>
      <c r="B85" s="124" t="s">
        <v>771</v>
      </c>
      <c r="C85" s="121" t="s">
        <v>66</v>
      </c>
      <c r="D85" s="121">
        <v>3</v>
      </c>
      <c r="E85" s="120" t="s">
        <v>773</v>
      </c>
      <c r="F85" s="6" t="s">
        <v>25</v>
      </c>
      <c r="G85" s="143">
        <v>90000</v>
      </c>
      <c r="H85" s="121" t="s">
        <v>726</v>
      </c>
      <c r="I85" s="122" t="s">
        <v>27</v>
      </c>
      <c r="J85" s="122" t="s">
        <v>27</v>
      </c>
      <c r="K85" s="122" t="s">
        <v>27</v>
      </c>
      <c r="L85" s="122" t="s">
        <v>27</v>
      </c>
      <c r="M85" s="6" t="s">
        <v>28</v>
      </c>
      <c r="N85" s="122"/>
      <c r="O85" s="122" t="s">
        <v>756</v>
      </c>
      <c r="P85" s="6" t="s">
        <v>774</v>
      </c>
      <c r="Q85" s="83">
        <f t="shared" si="1"/>
        <v>2021</v>
      </c>
      <c r="R85" s="125">
        <v>45002</v>
      </c>
    </row>
    <row r="86" spans="1:18" ht="14.5" hidden="1" customHeight="1" x14ac:dyDescent="0.35">
      <c r="A86" s="123" t="s">
        <v>770</v>
      </c>
      <c r="B86" s="124" t="s">
        <v>771</v>
      </c>
      <c r="C86" s="121" t="s">
        <v>66</v>
      </c>
      <c r="D86" s="121">
        <v>4</v>
      </c>
      <c r="E86" s="120" t="s">
        <v>775</v>
      </c>
      <c r="F86" s="6" t="s">
        <v>25</v>
      </c>
      <c r="G86" s="143">
        <v>708000</v>
      </c>
      <c r="H86" s="121" t="s">
        <v>663</v>
      </c>
      <c r="I86" s="162"/>
      <c r="J86" s="162"/>
      <c r="K86" s="162"/>
      <c r="L86" s="162"/>
      <c r="M86" s="162"/>
      <c r="N86" s="162"/>
      <c r="O86" s="122" t="s">
        <v>664</v>
      </c>
      <c r="P86" s="22"/>
      <c r="Q86" s="83">
        <f t="shared" si="1"/>
        <v>2021</v>
      </c>
      <c r="R86" s="106"/>
    </row>
    <row r="87" spans="1:18" ht="14.5" hidden="1" customHeight="1" x14ac:dyDescent="0.35">
      <c r="A87" s="123" t="s">
        <v>770</v>
      </c>
      <c r="B87" s="124" t="s">
        <v>771</v>
      </c>
      <c r="C87" s="121" t="s">
        <v>66</v>
      </c>
      <c r="D87" s="119">
        <v>0</v>
      </c>
      <c r="E87" s="120" t="s">
        <v>776</v>
      </c>
      <c r="F87" s="6" t="s">
        <v>25</v>
      </c>
      <c r="G87" s="143">
        <v>267000</v>
      </c>
      <c r="H87" s="121" t="s">
        <v>663</v>
      </c>
      <c r="I87" s="162"/>
      <c r="J87" s="162"/>
      <c r="K87" s="162"/>
      <c r="L87" s="162"/>
      <c r="M87" s="162"/>
      <c r="N87" s="162"/>
      <c r="O87" s="122" t="s">
        <v>664</v>
      </c>
      <c r="P87" s="22"/>
      <c r="Q87" s="83">
        <f t="shared" si="1"/>
        <v>2021</v>
      </c>
      <c r="R87" s="106"/>
    </row>
    <row r="88" spans="1:18" ht="14.5" hidden="1" customHeight="1" x14ac:dyDescent="0.35">
      <c r="A88" s="123" t="s">
        <v>770</v>
      </c>
      <c r="B88" s="124" t="s">
        <v>771</v>
      </c>
      <c r="C88" s="121" t="s">
        <v>66</v>
      </c>
      <c r="D88" s="121" t="s">
        <v>673</v>
      </c>
      <c r="E88" s="120" t="s">
        <v>775</v>
      </c>
      <c r="F88" s="6" t="s">
        <v>25</v>
      </c>
      <c r="G88" s="143">
        <v>698750</v>
      </c>
      <c r="H88" s="121" t="s">
        <v>663</v>
      </c>
      <c r="I88" s="162"/>
      <c r="J88" s="162"/>
      <c r="K88" s="162"/>
      <c r="L88" s="162"/>
      <c r="M88" s="162"/>
      <c r="N88" s="162"/>
      <c r="O88" s="122" t="s">
        <v>664</v>
      </c>
      <c r="P88" s="22"/>
      <c r="Q88" s="83">
        <f t="shared" si="1"/>
        <v>2021</v>
      </c>
      <c r="R88" s="106"/>
    </row>
    <row r="89" spans="1:18" ht="14.5" hidden="1" customHeight="1" x14ac:dyDescent="0.35">
      <c r="A89" s="123" t="s">
        <v>770</v>
      </c>
      <c r="B89" s="124" t="s">
        <v>771</v>
      </c>
      <c r="C89" s="121" t="s">
        <v>66</v>
      </c>
      <c r="D89" s="119">
        <v>0</v>
      </c>
      <c r="E89" s="120" t="s">
        <v>776</v>
      </c>
      <c r="F89" s="6" t="s">
        <v>25</v>
      </c>
      <c r="G89" s="143">
        <v>201250</v>
      </c>
      <c r="H89" s="121" t="s">
        <v>663</v>
      </c>
      <c r="I89" s="162"/>
      <c r="J89" s="162"/>
      <c r="K89" s="162"/>
      <c r="L89" s="162"/>
      <c r="M89" s="162"/>
      <c r="N89" s="162"/>
      <c r="O89" s="122" t="s">
        <v>664</v>
      </c>
      <c r="P89" s="22"/>
      <c r="Q89" s="83">
        <f t="shared" si="1"/>
        <v>2021</v>
      </c>
      <c r="R89" s="106"/>
    </row>
    <row r="90" spans="1:18" ht="14.5" hidden="1" customHeight="1" x14ac:dyDescent="0.35">
      <c r="A90" s="123" t="s">
        <v>770</v>
      </c>
      <c r="B90" s="124" t="s">
        <v>771</v>
      </c>
      <c r="C90" s="121" t="s">
        <v>66</v>
      </c>
      <c r="D90" s="121" t="s">
        <v>777</v>
      </c>
      <c r="E90" s="120" t="s">
        <v>775</v>
      </c>
      <c r="F90" s="6" t="s">
        <v>25</v>
      </c>
      <c r="G90" s="143">
        <v>698750</v>
      </c>
      <c r="H90" s="121" t="s">
        <v>663</v>
      </c>
      <c r="I90" s="162"/>
      <c r="J90" s="162"/>
      <c r="K90" s="162"/>
      <c r="L90" s="162"/>
      <c r="M90" s="162"/>
      <c r="N90" s="162"/>
      <c r="O90" s="122" t="s">
        <v>664</v>
      </c>
      <c r="P90" s="6"/>
      <c r="Q90" s="83">
        <f t="shared" si="1"/>
        <v>2021</v>
      </c>
      <c r="R90" s="106"/>
    </row>
    <row r="91" spans="1:18" ht="14.5" hidden="1" customHeight="1" x14ac:dyDescent="0.35">
      <c r="A91" s="123" t="s">
        <v>770</v>
      </c>
      <c r="B91" s="124" t="s">
        <v>771</v>
      </c>
      <c r="C91" s="121" t="s">
        <v>66</v>
      </c>
      <c r="D91" s="119">
        <v>0</v>
      </c>
      <c r="E91" s="120" t="s">
        <v>776</v>
      </c>
      <c r="F91" s="6" t="s">
        <v>25</v>
      </c>
      <c r="G91" s="143">
        <v>201250</v>
      </c>
      <c r="H91" s="121" t="s">
        <v>749</v>
      </c>
      <c r="I91" s="162"/>
      <c r="J91" s="162"/>
      <c r="K91" s="162"/>
      <c r="L91" s="162"/>
      <c r="M91" s="162"/>
      <c r="N91" s="162"/>
      <c r="O91" s="122" t="s">
        <v>664</v>
      </c>
      <c r="P91" s="6"/>
      <c r="Q91" s="83">
        <f t="shared" si="1"/>
        <v>2021</v>
      </c>
      <c r="R91" s="106"/>
    </row>
    <row r="92" spans="1:18" ht="14.5" hidden="1" customHeight="1" x14ac:dyDescent="0.35">
      <c r="A92" s="123" t="s">
        <v>770</v>
      </c>
      <c r="B92" s="124" t="s">
        <v>771</v>
      </c>
      <c r="C92" s="121" t="s">
        <v>66</v>
      </c>
      <c r="D92" s="121">
        <v>5</v>
      </c>
      <c r="E92" s="120" t="s">
        <v>778</v>
      </c>
      <c r="F92" s="6" t="s">
        <v>25</v>
      </c>
      <c r="G92" s="143">
        <v>76500</v>
      </c>
      <c r="H92" s="121" t="s">
        <v>663</v>
      </c>
      <c r="I92" s="162"/>
      <c r="J92" s="162"/>
      <c r="K92" s="162"/>
      <c r="L92" s="162"/>
      <c r="M92" s="162"/>
      <c r="N92" s="162"/>
      <c r="O92" s="122" t="s">
        <v>664</v>
      </c>
      <c r="P92" s="22"/>
      <c r="Q92" s="83">
        <f t="shared" si="1"/>
        <v>2021</v>
      </c>
      <c r="R92" s="106"/>
    </row>
    <row r="93" spans="1:18" ht="14.5" hidden="1" customHeight="1" x14ac:dyDescent="0.35">
      <c r="A93" s="123" t="s">
        <v>770</v>
      </c>
      <c r="B93" s="124" t="s">
        <v>771</v>
      </c>
      <c r="C93" s="121" t="s">
        <v>66</v>
      </c>
      <c r="D93" s="121" t="s">
        <v>732</v>
      </c>
      <c r="E93" s="120" t="s">
        <v>778</v>
      </c>
      <c r="F93" s="6" t="s">
        <v>25</v>
      </c>
      <c r="G93" s="143">
        <v>90000</v>
      </c>
      <c r="H93" s="121" t="s">
        <v>709</v>
      </c>
      <c r="I93" s="122" t="s">
        <v>27</v>
      </c>
      <c r="J93" s="122" t="s">
        <v>27</v>
      </c>
      <c r="K93" s="122" t="s">
        <v>27</v>
      </c>
      <c r="L93" s="122" t="s">
        <v>27</v>
      </c>
      <c r="M93" s="122" t="s">
        <v>27</v>
      </c>
      <c r="N93" s="122" t="s">
        <v>27</v>
      </c>
      <c r="O93" s="122" t="s">
        <v>709</v>
      </c>
      <c r="P93" s="22" t="s">
        <v>710</v>
      </c>
      <c r="Q93" s="83">
        <f t="shared" si="1"/>
        <v>2021</v>
      </c>
      <c r="R93" s="106"/>
    </row>
    <row r="94" spans="1:18" ht="14.5" hidden="1" customHeight="1" x14ac:dyDescent="0.35">
      <c r="A94" s="123" t="s">
        <v>779</v>
      </c>
      <c r="B94" s="124" t="s">
        <v>780</v>
      </c>
      <c r="C94" s="121" t="s">
        <v>37</v>
      </c>
      <c r="D94" s="121">
        <v>1</v>
      </c>
      <c r="E94" s="120" t="s">
        <v>753</v>
      </c>
      <c r="F94" s="6" t="s">
        <v>25</v>
      </c>
      <c r="G94" s="143">
        <v>160000</v>
      </c>
      <c r="H94" s="121" t="s">
        <v>663</v>
      </c>
      <c r="I94" s="162"/>
      <c r="J94" s="162"/>
      <c r="K94" s="162"/>
      <c r="L94" s="162"/>
      <c r="M94" s="162"/>
      <c r="N94" s="162"/>
      <c r="O94" s="122" t="s">
        <v>664</v>
      </c>
      <c r="P94" s="22"/>
      <c r="Q94" s="83">
        <f t="shared" si="1"/>
        <v>2020</v>
      </c>
      <c r="R94" s="106"/>
    </row>
    <row r="95" spans="1:18" ht="14.5" hidden="1" customHeight="1" x14ac:dyDescent="0.35">
      <c r="A95" s="123" t="s">
        <v>779</v>
      </c>
      <c r="B95" s="124" t="s">
        <v>780</v>
      </c>
      <c r="C95" s="121" t="s">
        <v>37</v>
      </c>
      <c r="D95" s="121" t="s">
        <v>667</v>
      </c>
      <c r="E95" s="120" t="s">
        <v>753</v>
      </c>
      <c r="F95" s="6" t="s">
        <v>25</v>
      </c>
      <c r="G95" s="143">
        <v>95500</v>
      </c>
      <c r="H95" s="121" t="s">
        <v>663</v>
      </c>
      <c r="I95" s="162"/>
      <c r="J95" s="162"/>
      <c r="K95" s="162"/>
      <c r="L95" s="162"/>
      <c r="M95" s="162"/>
      <c r="N95" s="162"/>
      <c r="O95" s="122" t="s">
        <v>664</v>
      </c>
      <c r="P95" s="22"/>
      <c r="Q95" s="83">
        <f t="shared" si="1"/>
        <v>2020</v>
      </c>
      <c r="R95" s="106"/>
    </row>
    <row r="96" spans="1:18" ht="14.5" hidden="1" customHeight="1" x14ac:dyDescent="0.35">
      <c r="A96" s="123" t="s">
        <v>779</v>
      </c>
      <c r="B96" s="124" t="s">
        <v>780</v>
      </c>
      <c r="C96" s="121" t="s">
        <v>37</v>
      </c>
      <c r="D96" s="121" t="s">
        <v>766</v>
      </c>
      <c r="E96" s="120" t="s">
        <v>753</v>
      </c>
      <c r="F96" s="6" t="s">
        <v>25</v>
      </c>
      <c r="G96" s="143">
        <v>60000</v>
      </c>
      <c r="H96" s="121" t="s">
        <v>781</v>
      </c>
      <c r="I96" s="122" t="s">
        <v>27</v>
      </c>
      <c r="J96" s="122" t="s">
        <v>27</v>
      </c>
      <c r="K96" s="122" t="s">
        <v>27</v>
      </c>
      <c r="L96" s="122" t="s">
        <v>27</v>
      </c>
      <c r="M96" s="122" t="s">
        <v>27</v>
      </c>
      <c r="N96" s="122" t="s">
        <v>27</v>
      </c>
      <c r="O96" s="122" t="s">
        <v>709</v>
      </c>
      <c r="P96" s="22" t="s">
        <v>710</v>
      </c>
      <c r="Q96" s="83">
        <f t="shared" si="1"/>
        <v>2020</v>
      </c>
      <c r="R96" s="106"/>
    </row>
    <row r="97" spans="1:18" ht="14.5" hidden="1" customHeight="1" x14ac:dyDescent="0.35">
      <c r="A97" s="123" t="s">
        <v>782</v>
      </c>
      <c r="B97" s="124" t="s">
        <v>783</v>
      </c>
      <c r="C97" s="121" t="s">
        <v>37</v>
      </c>
      <c r="D97" s="121" t="s">
        <v>667</v>
      </c>
      <c r="E97" s="120" t="s">
        <v>784</v>
      </c>
      <c r="F97" s="6" t="s">
        <v>25</v>
      </c>
      <c r="G97" s="143">
        <v>17500</v>
      </c>
      <c r="H97" s="121" t="s">
        <v>709</v>
      </c>
      <c r="I97" s="122" t="s">
        <v>27</v>
      </c>
      <c r="J97" s="122" t="s">
        <v>27</v>
      </c>
      <c r="K97" s="122" t="s">
        <v>27</v>
      </c>
      <c r="L97" s="122" t="s">
        <v>27</v>
      </c>
      <c r="M97" s="122" t="s">
        <v>27</v>
      </c>
      <c r="N97" s="122" t="s">
        <v>27</v>
      </c>
      <c r="O97" s="122" t="s">
        <v>709</v>
      </c>
      <c r="P97" s="116" t="s">
        <v>710</v>
      </c>
      <c r="Q97" s="83">
        <f t="shared" si="1"/>
        <v>2020</v>
      </c>
      <c r="R97" s="106"/>
    </row>
    <row r="98" spans="1:18" ht="14.5" hidden="1" customHeight="1" x14ac:dyDescent="0.35">
      <c r="A98" s="118" t="s">
        <v>785</v>
      </c>
      <c r="B98" s="88" t="s">
        <v>786</v>
      </c>
      <c r="C98" s="119" t="s">
        <v>23</v>
      </c>
      <c r="D98" s="119">
        <v>1</v>
      </c>
      <c r="E98" s="120" t="s">
        <v>717</v>
      </c>
      <c r="F98" s="6" t="s">
        <v>25</v>
      </c>
      <c r="G98" s="143">
        <v>60300</v>
      </c>
      <c r="H98" s="119" t="s">
        <v>709</v>
      </c>
      <c r="I98" s="122" t="s">
        <v>27</v>
      </c>
      <c r="J98" s="122" t="s">
        <v>27</v>
      </c>
      <c r="K98" s="122" t="s">
        <v>27</v>
      </c>
      <c r="L98" s="122" t="s">
        <v>27</v>
      </c>
      <c r="M98" s="122" t="s">
        <v>27</v>
      </c>
      <c r="N98" s="122" t="s">
        <v>27</v>
      </c>
      <c r="O98" s="122" t="s">
        <v>709</v>
      </c>
      <c r="P98" s="22" t="s">
        <v>787</v>
      </c>
      <c r="Q98" s="83">
        <f t="shared" si="1"/>
        <v>2020</v>
      </c>
      <c r="R98" s="106"/>
    </row>
    <row r="99" spans="1:18" ht="14.5" hidden="1" customHeight="1" x14ac:dyDescent="0.35">
      <c r="A99" s="118" t="s">
        <v>785</v>
      </c>
      <c r="B99" s="88" t="s">
        <v>786</v>
      </c>
      <c r="C99" s="119" t="s">
        <v>23</v>
      </c>
      <c r="D99" s="119">
        <v>2</v>
      </c>
      <c r="E99" s="120" t="s">
        <v>788</v>
      </c>
      <c r="F99" s="6" t="s">
        <v>25</v>
      </c>
      <c r="G99" s="143">
        <v>250000</v>
      </c>
      <c r="H99" s="121" t="s">
        <v>663</v>
      </c>
      <c r="I99" s="162"/>
      <c r="J99" s="162"/>
      <c r="K99" s="162"/>
      <c r="L99" s="162"/>
      <c r="M99" s="162"/>
      <c r="N99" s="162"/>
      <c r="O99" s="122" t="s">
        <v>664</v>
      </c>
      <c r="P99" s="22"/>
      <c r="Q99" s="83">
        <f t="shared" si="1"/>
        <v>2020</v>
      </c>
      <c r="R99" s="106"/>
    </row>
    <row r="100" spans="1:18" ht="14.5" hidden="1" customHeight="1" x14ac:dyDescent="0.35">
      <c r="A100" s="118" t="s">
        <v>789</v>
      </c>
      <c r="B100" s="88" t="s">
        <v>790</v>
      </c>
      <c r="C100" s="119" t="s">
        <v>23</v>
      </c>
      <c r="D100" s="119">
        <v>1</v>
      </c>
      <c r="E100" s="120" t="s">
        <v>753</v>
      </c>
      <c r="F100" s="6" t="s">
        <v>25</v>
      </c>
      <c r="G100" s="143">
        <v>23250</v>
      </c>
      <c r="H100" s="119" t="s">
        <v>709</v>
      </c>
      <c r="I100" s="122" t="s">
        <v>27</v>
      </c>
      <c r="J100" s="122" t="s">
        <v>27</v>
      </c>
      <c r="K100" s="122" t="s">
        <v>27</v>
      </c>
      <c r="L100" s="122" t="s">
        <v>27</v>
      </c>
      <c r="M100" s="122" t="s">
        <v>27</v>
      </c>
      <c r="N100" s="122" t="s">
        <v>27</v>
      </c>
      <c r="O100" s="122" t="s">
        <v>709</v>
      </c>
      <c r="P100" s="22" t="s">
        <v>710</v>
      </c>
      <c r="Q100" s="83">
        <f t="shared" si="1"/>
        <v>2020</v>
      </c>
      <c r="R100" s="106"/>
    </row>
    <row r="101" spans="1:18" ht="14.5" hidden="1" customHeight="1" x14ac:dyDescent="0.35">
      <c r="A101" s="118" t="s">
        <v>789</v>
      </c>
      <c r="B101" s="88" t="s">
        <v>790</v>
      </c>
      <c r="C101" s="119" t="s">
        <v>23</v>
      </c>
      <c r="D101" s="119">
        <v>2</v>
      </c>
      <c r="E101" s="120" t="s">
        <v>753</v>
      </c>
      <c r="F101" s="6" t="s">
        <v>25</v>
      </c>
      <c r="G101" s="143">
        <v>13500</v>
      </c>
      <c r="H101" s="119" t="s">
        <v>709</v>
      </c>
      <c r="I101" s="122" t="s">
        <v>27</v>
      </c>
      <c r="J101" s="122" t="s">
        <v>27</v>
      </c>
      <c r="K101" s="122" t="s">
        <v>27</v>
      </c>
      <c r="L101" s="122" t="s">
        <v>27</v>
      </c>
      <c r="M101" s="122" t="s">
        <v>27</v>
      </c>
      <c r="N101" s="122" t="s">
        <v>27</v>
      </c>
      <c r="O101" s="122" t="s">
        <v>709</v>
      </c>
      <c r="P101" s="22" t="s">
        <v>710</v>
      </c>
      <c r="Q101" s="83">
        <f t="shared" si="1"/>
        <v>2020</v>
      </c>
      <c r="R101" s="106"/>
    </row>
    <row r="102" spans="1:18" ht="14.5" hidden="1" customHeight="1" x14ac:dyDescent="0.35">
      <c r="A102" s="118" t="s">
        <v>791</v>
      </c>
      <c r="B102" s="88" t="s">
        <v>792</v>
      </c>
      <c r="C102" s="119" t="s">
        <v>23</v>
      </c>
      <c r="D102" s="119">
        <v>1</v>
      </c>
      <c r="E102" s="120" t="s">
        <v>752</v>
      </c>
      <c r="F102" s="6" t="s">
        <v>25</v>
      </c>
      <c r="G102" s="143">
        <v>81200</v>
      </c>
      <c r="H102" s="119" t="s">
        <v>709</v>
      </c>
      <c r="I102" s="122" t="s">
        <v>27</v>
      </c>
      <c r="J102" s="122" t="s">
        <v>27</v>
      </c>
      <c r="K102" s="122" t="s">
        <v>27</v>
      </c>
      <c r="L102" s="122" t="s">
        <v>27</v>
      </c>
      <c r="M102" s="122" t="s">
        <v>27</v>
      </c>
      <c r="N102" s="122" t="s">
        <v>27</v>
      </c>
      <c r="O102" s="122" t="s">
        <v>709</v>
      </c>
      <c r="P102" s="22" t="s">
        <v>710</v>
      </c>
      <c r="Q102" s="83">
        <f t="shared" si="1"/>
        <v>2020</v>
      </c>
      <c r="R102" s="106"/>
    </row>
    <row r="103" spans="1:18" ht="14.5" hidden="1" customHeight="1" x14ac:dyDescent="0.35">
      <c r="A103" s="118" t="s">
        <v>791</v>
      </c>
      <c r="B103" s="88" t="s">
        <v>792</v>
      </c>
      <c r="C103" s="119" t="s">
        <v>23</v>
      </c>
      <c r="D103" s="119">
        <v>2</v>
      </c>
      <c r="E103" s="120" t="s">
        <v>753</v>
      </c>
      <c r="F103" s="6" t="s">
        <v>25</v>
      </c>
      <c r="G103" s="143">
        <v>39600</v>
      </c>
      <c r="H103" s="119" t="s">
        <v>709</v>
      </c>
      <c r="I103" s="122" t="s">
        <v>27</v>
      </c>
      <c r="J103" s="122" t="s">
        <v>27</v>
      </c>
      <c r="K103" s="122" t="s">
        <v>27</v>
      </c>
      <c r="L103" s="122" t="s">
        <v>27</v>
      </c>
      <c r="M103" s="122" t="s">
        <v>27</v>
      </c>
      <c r="N103" s="122" t="s">
        <v>27</v>
      </c>
      <c r="O103" s="122" t="s">
        <v>709</v>
      </c>
      <c r="P103" s="22" t="s">
        <v>710</v>
      </c>
      <c r="Q103" s="83">
        <f t="shared" si="1"/>
        <v>2020</v>
      </c>
      <c r="R103" s="106"/>
    </row>
    <row r="104" spans="1:18" ht="14.5" customHeight="1" x14ac:dyDescent="0.35">
      <c r="A104" s="118" t="s">
        <v>791</v>
      </c>
      <c r="B104" s="88" t="s">
        <v>792</v>
      </c>
      <c r="C104" s="119" t="s">
        <v>23</v>
      </c>
      <c r="D104" s="119">
        <v>3</v>
      </c>
      <c r="E104" s="126" t="s">
        <v>793</v>
      </c>
      <c r="F104" s="6" t="s">
        <v>25</v>
      </c>
      <c r="G104" s="143">
        <v>7000</v>
      </c>
      <c r="H104" s="119" t="s">
        <v>730</v>
      </c>
      <c r="I104" s="163" t="s">
        <v>27</v>
      </c>
      <c r="J104" s="163" t="s">
        <v>27</v>
      </c>
      <c r="K104" s="163" t="s">
        <v>27</v>
      </c>
      <c r="L104" s="122" t="s">
        <v>27</v>
      </c>
      <c r="M104" s="163" t="s">
        <v>27</v>
      </c>
      <c r="N104" s="6" t="s">
        <v>28</v>
      </c>
      <c r="O104" s="122" t="s">
        <v>756</v>
      </c>
      <c r="P104" s="164" t="s">
        <v>757</v>
      </c>
      <c r="Q104" s="83">
        <f t="shared" si="1"/>
        <v>2020</v>
      </c>
      <c r="R104" s="125">
        <v>45841</v>
      </c>
    </row>
    <row r="105" spans="1:18" ht="14.5" hidden="1" customHeight="1" x14ac:dyDescent="0.35">
      <c r="A105" s="118" t="s">
        <v>794</v>
      </c>
      <c r="B105" s="88" t="s">
        <v>792</v>
      </c>
      <c r="C105" s="119" t="s">
        <v>23</v>
      </c>
      <c r="D105" s="119">
        <v>1</v>
      </c>
      <c r="E105" s="120" t="s">
        <v>752</v>
      </c>
      <c r="F105" s="6" t="s">
        <v>25</v>
      </c>
      <c r="G105" s="143">
        <v>103502</v>
      </c>
      <c r="H105" s="121" t="s">
        <v>663</v>
      </c>
      <c r="I105" s="162"/>
      <c r="J105" s="162"/>
      <c r="K105" s="162"/>
      <c r="L105" s="162"/>
      <c r="M105" s="162"/>
      <c r="N105" s="162"/>
      <c r="O105" s="122" t="s">
        <v>664</v>
      </c>
      <c r="P105" s="22"/>
      <c r="Q105" s="83">
        <f t="shared" si="1"/>
        <v>2020</v>
      </c>
      <c r="R105" s="106"/>
    </row>
    <row r="106" spans="1:18" ht="14.5" hidden="1" customHeight="1" x14ac:dyDescent="0.35">
      <c r="A106" s="123" t="s">
        <v>794</v>
      </c>
      <c r="B106" s="88" t="s">
        <v>795</v>
      </c>
      <c r="C106" s="119" t="s">
        <v>23</v>
      </c>
      <c r="D106" s="121" t="s">
        <v>766</v>
      </c>
      <c r="E106" s="120" t="s">
        <v>796</v>
      </c>
      <c r="F106" s="6" t="s">
        <v>25</v>
      </c>
      <c r="G106" s="143">
        <v>25000</v>
      </c>
      <c r="H106" s="119" t="s">
        <v>709</v>
      </c>
      <c r="I106" s="122" t="s">
        <v>27</v>
      </c>
      <c r="J106" s="122" t="s">
        <v>27</v>
      </c>
      <c r="K106" s="122" t="s">
        <v>27</v>
      </c>
      <c r="L106" s="122" t="s">
        <v>27</v>
      </c>
      <c r="M106" s="122" t="s">
        <v>27</v>
      </c>
      <c r="N106" s="122" t="s">
        <v>27</v>
      </c>
      <c r="O106" s="122" t="s">
        <v>745</v>
      </c>
      <c r="P106" s="22"/>
      <c r="Q106" s="83">
        <f t="shared" si="1"/>
        <v>2020</v>
      </c>
      <c r="R106" s="106"/>
    </row>
    <row r="107" spans="1:18" ht="14.5" hidden="1" customHeight="1" x14ac:dyDescent="0.35">
      <c r="A107" s="123" t="s">
        <v>794</v>
      </c>
      <c r="B107" s="88" t="s">
        <v>795</v>
      </c>
      <c r="C107" s="119" t="s">
        <v>23</v>
      </c>
      <c r="D107" s="121">
        <v>2</v>
      </c>
      <c r="E107" s="120" t="s">
        <v>753</v>
      </c>
      <c r="F107" s="6" t="s">
        <v>25</v>
      </c>
      <c r="G107" s="143">
        <v>19000</v>
      </c>
      <c r="H107" s="119" t="s">
        <v>709</v>
      </c>
      <c r="I107" s="122" t="s">
        <v>27</v>
      </c>
      <c r="J107" s="122" t="s">
        <v>27</v>
      </c>
      <c r="K107" s="122" t="s">
        <v>27</v>
      </c>
      <c r="L107" s="122" t="s">
        <v>27</v>
      </c>
      <c r="M107" s="122" t="s">
        <v>27</v>
      </c>
      <c r="N107" s="122" t="s">
        <v>27</v>
      </c>
      <c r="O107" s="122" t="s">
        <v>709</v>
      </c>
      <c r="P107" s="22" t="s">
        <v>710</v>
      </c>
      <c r="Q107" s="83">
        <f t="shared" si="1"/>
        <v>2020</v>
      </c>
      <c r="R107" s="106"/>
    </row>
    <row r="108" spans="1:18" ht="14.5" hidden="1" customHeight="1" x14ac:dyDescent="0.35">
      <c r="A108" s="123" t="s">
        <v>794</v>
      </c>
      <c r="B108" s="88" t="s">
        <v>795</v>
      </c>
      <c r="C108" s="119" t="s">
        <v>23</v>
      </c>
      <c r="D108" s="121">
        <v>3</v>
      </c>
      <c r="E108" s="120" t="s">
        <v>797</v>
      </c>
      <c r="F108" s="6" t="s">
        <v>25</v>
      </c>
      <c r="G108" s="143">
        <v>38023</v>
      </c>
      <c r="H108" s="119" t="s">
        <v>709</v>
      </c>
      <c r="I108" s="122" t="s">
        <v>27</v>
      </c>
      <c r="J108" s="122" t="s">
        <v>27</v>
      </c>
      <c r="K108" s="122" t="s">
        <v>27</v>
      </c>
      <c r="L108" s="122" t="s">
        <v>27</v>
      </c>
      <c r="M108" s="122" t="s">
        <v>27</v>
      </c>
      <c r="N108" s="122" t="s">
        <v>27</v>
      </c>
      <c r="O108" s="122" t="s">
        <v>709</v>
      </c>
      <c r="P108" s="22" t="s">
        <v>710</v>
      </c>
      <c r="Q108" s="83">
        <f t="shared" si="1"/>
        <v>2020</v>
      </c>
      <c r="R108" s="106"/>
    </row>
    <row r="109" spans="1:18" ht="14.5" hidden="1" customHeight="1" x14ac:dyDescent="0.35">
      <c r="A109" s="123" t="s">
        <v>794</v>
      </c>
      <c r="B109" s="88" t="s">
        <v>795</v>
      </c>
      <c r="C109" s="119" t="s">
        <v>23</v>
      </c>
      <c r="D109" s="121">
        <v>4</v>
      </c>
      <c r="E109" s="120" t="s">
        <v>798</v>
      </c>
      <c r="F109" s="6" t="s">
        <v>25</v>
      </c>
      <c r="G109" s="143">
        <v>15000</v>
      </c>
      <c r="H109" s="119" t="s">
        <v>709</v>
      </c>
      <c r="I109" s="122" t="s">
        <v>27</v>
      </c>
      <c r="J109" s="122" t="s">
        <v>27</v>
      </c>
      <c r="K109" s="122" t="s">
        <v>27</v>
      </c>
      <c r="L109" s="122" t="s">
        <v>27</v>
      </c>
      <c r="M109" s="122" t="s">
        <v>27</v>
      </c>
      <c r="N109" s="122" t="s">
        <v>27</v>
      </c>
      <c r="O109" s="122" t="s">
        <v>709</v>
      </c>
      <c r="P109" s="22" t="s">
        <v>710</v>
      </c>
      <c r="Q109" s="83">
        <f t="shared" si="1"/>
        <v>2020</v>
      </c>
      <c r="R109" s="106"/>
    </row>
    <row r="110" spans="1:18" ht="14.5" hidden="1" customHeight="1" x14ac:dyDescent="0.35">
      <c r="A110" s="123" t="s">
        <v>794</v>
      </c>
      <c r="B110" s="88" t="s">
        <v>795</v>
      </c>
      <c r="C110" s="119" t="s">
        <v>23</v>
      </c>
      <c r="D110" s="121">
        <v>5</v>
      </c>
      <c r="E110" s="120" t="s">
        <v>798</v>
      </c>
      <c r="F110" s="6" t="s">
        <v>25</v>
      </c>
      <c r="G110" s="143">
        <v>5000</v>
      </c>
      <c r="H110" s="119" t="s">
        <v>709</v>
      </c>
      <c r="I110" s="122" t="s">
        <v>27</v>
      </c>
      <c r="J110" s="122" t="s">
        <v>27</v>
      </c>
      <c r="K110" s="122" t="s">
        <v>27</v>
      </c>
      <c r="L110" s="122" t="s">
        <v>27</v>
      </c>
      <c r="M110" s="122" t="s">
        <v>27</v>
      </c>
      <c r="N110" s="122" t="s">
        <v>27</v>
      </c>
      <c r="O110" s="122" t="s">
        <v>709</v>
      </c>
      <c r="P110" s="22" t="s">
        <v>710</v>
      </c>
      <c r="Q110" s="83">
        <f t="shared" si="1"/>
        <v>2020</v>
      </c>
      <c r="R110" s="106"/>
    </row>
    <row r="111" spans="1:18" ht="14.5" hidden="1" customHeight="1" x14ac:dyDescent="0.35">
      <c r="A111" s="123" t="s">
        <v>799</v>
      </c>
      <c r="B111" s="124" t="s">
        <v>800</v>
      </c>
      <c r="C111" s="119" t="s">
        <v>23</v>
      </c>
      <c r="D111" s="121" t="s">
        <v>671</v>
      </c>
      <c r="E111" s="120" t="s">
        <v>717</v>
      </c>
      <c r="F111" s="6" t="s">
        <v>25</v>
      </c>
      <c r="G111" s="143">
        <v>40000</v>
      </c>
      <c r="H111" s="119" t="s">
        <v>709</v>
      </c>
      <c r="I111" s="122" t="s">
        <v>27</v>
      </c>
      <c r="J111" s="122" t="s">
        <v>27</v>
      </c>
      <c r="K111" s="122" t="s">
        <v>27</v>
      </c>
      <c r="L111" s="122" t="s">
        <v>27</v>
      </c>
      <c r="M111" s="122" t="s">
        <v>27</v>
      </c>
      <c r="N111" s="122" t="s">
        <v>27</v>
      </c>
      <c r="O111" s="122" t="s">
        <v>709</v>
      </c>
      <c r="P111" s="22" t="s">
        <v>710</v>
      </c>
      <c r="Q111" s="83">
        <f t="shared" si="1"/>
        <v>2020</v>
      </c>
      <c r="R111" s="106"/>
    </row>
    <row r="112" spans="1:18" ht="14.5" hidden="1" customHeight="1" x14ac:dyDescent="0.35">
      <c r="A112" s="123" t="s">
        <v>799</v>
      </c>
      <c r="B112" s="124" t="s">
        <v>800</v>
      </c>
      <c r="C112" s="119" t="s">
        <v>23</v>
      </c>
      <c r="D112" s="121">
        <v>4</v>
      </c>
      <c r="E112" s="120" t="s">
        <v>801</v>
      </c>
      <c r="F112" s="6" t="s">
        <v>25</v>
      </c>
      <c r="G112" s="143">
        <v>21500</v>
      </c>
      <c r="H112" s="119" t="s">
        <v>709</v>
      </c>
      <c r="I112" s="122" t="s">
        <v>27</v>
      </c>
      <c r="J112" s="122" t="s">
        <v>27</v>
      </c>
      <c r="K112" s="122" t="s">
        <v>27</v>
      </c>
      <c r="L112" s="122" t="s">
        <v>27</v>
      </c>
      <c r="M112" s="122" t="s">
        <v>27</v>
      </c>
      <c r="N112" s="122" t="s">
        <v>27</v>
      </c>
      <c r="O112" s="122" t="s">
        <v>709</v>
      </c>
      <c r="P112" s="22" t="s">
        <v>710</v>
      </c>
      <c r="Q112" s="83">
        <f t="shared" si="1"/>
        <v>2020</v>
      </c>
      <c r="R112" s="106"/>
    </row>
    <row r="113" spans="1:18" ht="14.5" hidden="1" customHeight="1" x14ac:dyDescent="0.35">
      <c r="A113" s="123" t="s">
        <v>802</v>
      </c>
      <c r="B113" s="124" t="s">
        <v>803</v>
      </c>
      <c r="C113" s="121" t="s">
        <v>37</v>
      </c>
      <c r="D113" s="121">
        <v>1</v>
      </c>
      <c r="E113" s="120" t="s">
        <v>804</v>
      </c>
      <c r="F113" s="6" t="s">
        <v>25</v>
      </c>
      <c r="G113" s="143">
        <v>59000</v>
      </c>
      <c r="H113" s="121" t="s">
        <v>709</v>
      </c>
      <c r="I113" s="122" t="s">
        <v>27</v>
      </c>
      <c r="J113" s="122" t="s">
        <v>27</v>
      </c>
      <c r="K113" s="122" t="s">
        <v>27</v>
      </c>
      <c r="L113" s="122" t="s">
        <v>27</v>
      </c>
      <c r="M113" s="122" t="s">
        <v>27</v>
      </c>
      <c r="N113" s="122" t="s">
        <v>27</v>
      </c>
      <c r="O113" s="122" t="s">
        <v>709</v>
      </c>
      <c r="P113" s="22" t="s">
        <v>710</v>
      </c>
      <c r="Q113" s="83">
        <f t="shared" si="1"/>
        <v>2020</v>
      </c>
      <c r="R113" s="106"/>
    </row>
    <row r="114" spans="1:18" ht="14.5" hidden="1" customHeight="1" x14ac:dyDescent="0.35">
      <c r="A114" s="123" t="s">
        <v>802</v>
      </c>
      <c r="B114" s="124" t="s">
        <v>803</v>
      </c>
      <c r="C114" s="121" t="s">
        <v>37</v>
      </c>
      <c r="D114" s="121">
        <v>2</v>
      </c>
      <c r="E114" s="120" t="s">
        <v>805</v>
      </c>
      <c r="F114" s="6" t="s">
        <v>25</v>
      </c>
      <c r="G114" s="143">
        <v>71500</v>
      </c>
      <c r="H114" s="121" t="s">
        <v>663</v>
      </c>
      <c r="I114" s="162"/>
      <c r="J114" s="162"/>
      <c r="K114" s="162"/>
      <c r="L114" s="162"/>
      <c r="M114" s="162"/>
      <c r="N114" s="162"/>
      <c r="O114" s="122" t="s">
        <v>664</v>
      </c>
      <c r="P114" s="22"/>
      <c r="Q114" s="83">
        <f t="shared" si="1"/>
        <v>2020</v>
      </c>
      <c r="R114" s="106"/>
    </row>
    <row r="115" spans="1:18" ht="14.5" hidden="1" customHeight="1" x14ac:dyDescent="0.35">
      <c r="A115" s="123" t="s">
        <v>802</v>
      </c>
      <c r="B115" s="124" t="s">
        <v>803</v>
      </c>
      <c r="C115" s="121" t="s">
        <v>37</v>
      </c>
      <c r="D115" s="121" t="s">
        <v>721</v>
      </c>
      <c r="E115" s="120" t="s">
        <v>806</v>
      </c>
      <c r="F115" s="6" t="s">
        <v>25</v>
      </c>
      <c r="G115" s="143">
        <v>71500</v>
      </c>
      <c r="H115" s="121" t="s">
        <v>730</v>
      </c>
      <c r="I115" s="122" t="s">
        <v>27</v>
      </c>
      <c r="J115" s="122" t="s">
        <v>27</v>
      </c>
      <c r="K115" s="122" t="s">
        <v>27</v>
      </c>
      <c r="L115" s="122" t="s">
        <v>27</v>
      </c>
      <c r="M115" s="122" t="s">
        <v>27</v>
      </c>
      <c r="N115" s="122" t="s">
        <v>27</v>
      </c>
      <c r="O115" s="122" t="s">
        <v>709</v>
      </c>
      <c r="P115" s="116"/>
      <c r="Q115" s="83">
        <f t="shared" si="1"/>
        <v>2020</v>
      </c>
      <c r="R115" s="106"/>
    </row>
    <row r="116" spans="1:18" ht="14.5" hidden="1" customHeight="1" x14ac:dyDescent="0.35">
      <c r="A116" s="123" t="s">
        <v>802</v>
      </c>
      <c r="B116" s="124" t="s">
        <v>803</v>
      </c>
      <c r="C116" s="121" t="s">
        <v>37</v>
      </c>
      <c r="D116" s="121" t="s">
        <v>671</v>
      </c>
      <c r="E116" s="120" t="s">
        <v>807</v>
      </c>
      <c r="F116" s="6" t="s">
        <v>25</v>
      </c>
      <c r="G116" s="143">
        <v>257420</v>
      </c>
      <c r="H116" s="121" t="s">
        <v>663</v>
      </c>
      <c r="I116" s="162"/>
      <c r="J116" s="162"/>
      <c r="K116" s="162"/>
      <c r="L116" s="162"/>
      <c r="M116" s="162"/>
      <c r="N116" s="162"/>
      <c r="O116" s="122" t="s">
        <v>664</v>
      </c>
      <c r="P116" s="22"/>
      <c r="Q116" s="83">
        <f t="shared" si="1"/>
        <v>2020</v>
      </c>
      <c r="R116" s="106"/>
    </row>
    <row r="117" spans="1:18" ht="14.5" hidden="1" customHeight="1" x14ac:dyDescent="0.35">
      <c r="A117" s="123" t="s">
        <v>802</v>
      </c>
      <c r="B117" s="124" t="s">
        <v>803</v>
      </c>
      <c r="C117" s="121" t="s">
        <v>37</v>
      </c>
      <c r="D117" s="121" t="s">
        <v>769</v>
      </c>
      <c r="E117" s="120" t="s">
        <v>808</v>
      </c>
      <c r="F117" s="6" t="s">
        <v>25</v>
      </c>
      <c r="G117" s="143">
        <v>297420</v>
      </c>
      <c r="H117" s="121" t="s">
        <v>730</v>
      </c>
      <c r="I117" s="122" t="s">
        <v>27</v>
      </c>
      <c r="J117" s="122" t="s">
        <v>27</v>
      </c>
      <c r="K117" s="122" t="s">
        <v>27</v>
      </c>
      <c r="L117" s="122" t="s">
        <v>27</v>
      </c>
      <c r="M117" s="122" t="s">
        <v>27</v>
      </c>
      <c r="N117" s="122" t="s">
        <v>27</v>
      </c>
      <c r="O117" s="122" t="s">
        <v>709</v>
      </c>
      <c r="P117" s="116"/>
      <c r="Q117" s="83">
        <f t="shared" si="1"/>
        <v>2020</v>
      </c>
      <c r="R117" s="106"/>
    </row>
    <row r="118" spans="1:18" ht="14.5" hidden="1" customHeight="1" x14ac:dyDescent="0.35">
      <c r="A118" s="123" t="s">
        <v>802</v>
      </c>
      <c r="B118" s="124" t="s">
        <v>803</v>
      </c>
      <c r="C118" s="121" t="s">
        <v>37</v>
      </c>
      <c r="D118" s="119">
        <v>0</v>
      </c>
      <c r="E118" s="120" t="s">
        <v>809</v>
      </c>
      <c r="F118" s="6" t="s">
        <v>25</v>
      </c>
      <c r="G118" s="143">
        <v>60000</v>
      </c>
      <c r="H118" s="121" t="s">
        <v>730</v>
      </c>
      <c r="I118" s="122" t="s">
        <v>27</v>
      </c>
      <c r="J118" s="122" t="s">
        <v>27</v>
      </c>
      <c r="K118" s="122" t="s">
        <v>27</v>
      </c>
      <c r="L118" s="122" t="s">
        <v>27</v>
      </c>
      <c r="M118" s="122" t="s">
        <v>27</v>
      </c>
      <c r="N118" s="122" t="s">
        <v>27</v>
      </c>
      <c r="O118" s="122" t="s">
        <v>709</v>
      </c>
      <c r="P118" s="116"/>
      <c r="Q118" s="83">
        <f t="shared" si="1"/>
        <v>2020</v>
      </c>
      <c r="R118" s="106"/>
    </row>
    <row r="119" spans="1:18" ht="14.5" hidden="1" customHeight="1" x14ac:dyDescent="0.35">
      <c r="A119" s="123" t="s">
        <v>802</v>
      </c>
      <c r="B119" s="124" t="s">
        <v>803</v>
      </c>
      <c r="C119" s="121" t="s">
        <v>37</v>
      </c>
      <c r="D119" s="121">
        <v>4</v>
      </c>
      <c r="E119" s="120" t="s">
        <v>810</v>
      </c>
      <c r="F119" s="6" t="s">
        <v>25</v>
      </c>
      <c r="G119" s="143">
        <v>967738</v>
      </c>
      <c r="H119" s="121" t="s">
        <v>663</v>
      </c>
      <c r="I119" s="162"/>
      <c r="J119" s="162"/>
      <c r="K119" s="162"/>
      <c r="L119" s="162"/>
      <c r="M119" s="162"/>
      <c r="N119" s="162"/>
      <c r="O119" s="122" t="s">
        <v>664</v>
      </c>
      <c r="P119" s="22"/>
      <c r="Q119" s="83">
        <f t="shared" si="1"/>
        <v>2020</v>
      </c>
      <c r="R119" s="106"/>
    </row>
    <row r="120" spans="1:18" ht="14.5" hidden="1" customHeight="1" x14ac:dyDescent="0.35">
      <c r="A120" s="123" t="s">
        <v>802</v>
      </c>
      <c r="B120" s="124" t="s">
        <v>803</v>
      </c>
      <c r="C120" s="121" t="s">
        <v>37</v>
      </c>
      <c r="D120" s="121" t="s">
        <v>673</v>
      </c>
      <c r="E120" s="120" t="s">
        <v>810</v>
      </c>
      <c r="F120" s="6" t="s">
        <v>25</v>
      </c>
      <c r="G120" s="143">
        <v>701963</v>
      </c>
      <c r="H120" s="121" t="s">
        <v>709</v>
      </c>
      <c r="I120" s="122" t="s">
        <v>27</v>
      </c>
      <c r="J120" s="122" t="s">
        <v>27</v>
      </c>
      <c r="K120" s="122" t="s">
        <v>27</v>
      </c>
      <c r="L120" s="122" t="s">
        <v>27</v>
      </c>
      <c r="M120" s="122" t="s">
        <v>27</v>
      </c>
      <c r="N120" s="122" t="s">
        <v>27</v>
      </c>
      <c r="O120" s="122" t="s">
        <v>709</v>
      </c>
      <c r="P120" s="22" t="s">
        <v>710</v>
      </c>
      <c r="Q120" s="83">
        <f t="shared" si="1"/>
        <v>2020</v>
      </c>
      <c r="R120" s="106"/>
    </row>
    <row r="121" spans="1:18" ht="14.5" hidden="1" customHeight="1" x14ac:dyDescent="0.35">
      <c r="A121" s="123" t="s">
        <v>802</v>
      </c>
      <c r="B121" s="124" t="s">
        <v>803</v>
      </c>
      <c r="C121" s="121" t="s">
        <v>37</v>
      </c>
      <c r="D121" s="121">
        <v>5</v>
      </c>
      <c r="E121" s="120" t="s">
        <v>811</v>
      </c>
      <c r="F121" s="6" t="s">
        <v>25</v>
      </c>
      <c r="G121" s="143">
        <v>1724259</v>
      </c>
      <c r="H121" s="121" t="s">
        <v>730</v>
      </c>
      <c r="I121" s="122" t="s">
        <v>27</v>
      </c>
      <c r="J121" s="122" t="s">
        <v>27</v>
      </c>
      <c r="K121" s="122" t="s">
        <v>27</v>
      </c>
      <c r="L121" s="122" t="s">
        <v>27</v>
      </c>
      <c r="M121" s="122" t="s">
        <v>27</v>
      </c>
      <c r="N121" s="122" t="s">
        <v>27</v>
      </c>
      <c r="O121" s="122" t="s">
        <v>709</v>
      </c>
      <c r="P121" s="116"/>
      <c r="Q121" s="83">
        <f t="shared" si="1"/>
        <v>2020</v>
      </c>
      <c r="R121" s="106"/>
    </row>
    <row r="122" spans="1:18" ht="14.5" hidden="1" customHeight="1" x14ac:dyDescent="0.35">
      <c r="A122" s="123" t="s">
        <v>812</v>
      </c>
      <c r="B122" s="124" t="s">
        <v>813</v>
      </c>
      <c r="C122" s="119" t="s">
        <v>23</v>
      </c>
      <c r="D122" s="121">
        <v>1</v>
      </c>
      <c r="E122" s="120" t="s">
        <v>752</v>
      </c>
      <c r="F122" s="6" t="s">
        <v>25</v>
      </c>
      <c r="G122" s="143">
        <v>51156</v>
      </c>
      <c r="H122" s="119" t="s">
        <v>709</v>
      </c>
      <c r="I122" s="122" t="s">
        <v>27</v>
      </c>
      <c r="J122" s="122" t="s">
        <v>27</v>
      </c>
      <c r="K122" s="122" t="s">
        <v>27</v>
      </c>
      <c r="L122" s="122" t="s">
        <v>27</v>
      </c>
      <c r="M122" s="122" t="s">
        <v>27</v>
      </c>
      <c r="N122" s="122" t="s">
        <v>27</v>
      </c>
      <c r="O122" s="122" t="s">
        <v>709</v>
      </c>
      <c r="P122" s="22" t="s">
        <v>710</v>
      </c>
      <c r="Q122" s="83">
        <f t="shared" si="1"/>
        <v>2020</v>
      </c>
      <c r="R122" s="106"/>
    </row>
    <row r="123" spans="1:18" ht="14.5" customHeight="1" x14ac:dyDescent="0.35">
      <c r="A123" s="123" t="s">
        <v>812</v>
      </c>
      <c r="B123" s="124" t="s">
        <v>813</v>
      </c>
      <c r="C123" s="119" t="s">
        <v>23</v>
      </c>
      <c r="D123" s="121">
        <v>5</v>
      </c>
      <c r="E123" s="120" t="s">
        <v>814</v>
      </c>
      <c r="F123" s="6" t="s">
        <v>25</v>
      </c>
      <c r="G123" s="143">
        <v>1494879</v>
      </c>
      <c r="H123" s="121" t="s">
        <v>730</v>
      </c>
      <c r="I123" s="163" t="s">
        <v>27</v>
      </c>
      <c r="J123" s="163" t="s">
        <v>27</v>
      </c>
      <c r="K123" s="163" t="s">
        <v>27</v>
      </c>
      <c r="L123" s="122" t="s">
        <v>27</v>
      </c>
      <c r="M123" s="163" t="s">
        <v>27</v>
      </c>
      <c r="N123" s="6" t="s">
        <v>28</v>
      </c>
      <c r="O123" s="122" t="s">
        <v>756</v>
      </c>
      <c r="P123" s="22" t="s">
        <v>815</v>
      </c>
      <c r="Q123" s="83">
        <f t="shared" si="1"/>
        <v>2020</v>
      </c>
      <c r="R123" s="125">
        <v>44669</v>
      </c>
    </row>
    <row r="124" spans="1:18" ht="14.5" hidden="1" customHeight="1" x14ac:dyDescent="0.35">
      <c r="A124" s="123" t="s">
        <v>816</v>
      </c>
      <c r="B124" s="124" t="s">
        <v>817</v>
      </c>
      <c r="C124" s="121" t="s">
        <v>37</v>
      </c>
      <c r="D124" s="121">
        <v>1</v>
      </c>
      <c r="E124" s="120" t="s">
        <v>818</v>
      </c>
      <c r="F124" s="6" t="s">
        <v>25</v>
      </c>
      <c r="G124" s="143">
        <v>328480</v>
      </c>
      <c r="H124" s="121" t="s">
        <v>663</v>
      </c>
      <c r="I124" s="162"/>
      <c r="J124" s="162"/>
      <c r="K124" s="162"/>
      <c r="L124" s="162"/>
      <c r="M124" s="162"/>
      <c r="N124" s="162"/>
      <c r="O124" s="122" t="s">
        <v>664</v>
      </c>
      <c r="P124" s="22"/>
      <c r="Q124" s="83">
        <f t="shared" si="1"/>
        <v>2020</v>
      </c>
      <c r="R124" s="106"/>
    </row>
    <row r="125" spans="1:18" ht="14.5" hidden="1" customHeight="1" x14ac:dyDescent="0.35">
      <c r="A125" s="123" t="s">
        <v>816</v>
      </c>
      <c r="B125" s="124" t="s">
        <v>817</v>
      </c>
      <c r="C125" s="121" t="s">
        <v>37</v>
      </c>
      <c r="D125" s="121">
        <v>1</v>
      </c>
      <c r="E125" s="120" t="s">
        <v>819</v>
      </c>
      <c r="F125" s="6" t="s">
        <v>25</v>
      </c>
      <c r="G125" s="143">
        <v>20000</v>
      </c>
      <c r="H125" s="121" t="s">
        <v>726</v>
      </c>
      <c r="I125" s="122" t="s">
        <v>27</v>
      </c>
      <c r="J125" s="122" t="s">
        <v>27</v>
      </c>
      <c r="K125" s="122" t="s">
        <v>27</v>
      </c>
      <c r="L125" s="122" t="s">
        <v>27</v>
      </c>
      <c r="M125" s="122" t="s">
        <v>27</v>
      </c>
      <c r="N125" s="122" t="s">
        <v>27</v>
      </c>
      <c r="O125" s="122" t="s">
        <v>709</v>
      </c>
      <c r="P125" s="116"/>
      <c r="Q125" s="83">
        <f t="shared" si="1"/>
        <v>2020</v>
      </c>
      <c r="R125" s="106"/>
    </row>
    <row r="126" spans="1:18" ht="14.5" hidden="1" customHeight="1" x14ac:dyDescent="0.35">
      <c r="A126" s="123" t="s">
        <v>816</v>
      </c>
      <c r="B126" s="124" t="s">
        <v>817</v>
      </c>
      <c r="C126" s="121" t="s">
        <v>37</v>
      </c>
      <c r="D126" s="121" t="s">
        <v>667</v>
      </c>
      <c r="E126" s="120" t="s">
        <v>818</v>
      </c>
      <c r="F126" s="6" t="s">
        <v>25</v>
      </c>
      <c r="G126" s="143">
        <v>564872</v>
      </c>
      <c r="H126" s="121" t="s">
        <v>730</v>
      </c>
      <c r="I126" s="122" t="s">
        <v>27</v>
      </c>
      <c r="J126" s="122" t="s">
        <v>27</v>
      </c>
      <c r="K126" s="122" t="s">
        <v>27</v>
      </c>
      <c r="L126" s="122" t="s">
        <v>27</v>
      </c>
      <c r="M126" s="122" t="s">
        <v>27</v>
      </c>
      <c r="N126" s="122" t="s">
        <v>27</v>
      </c>
      <c r="O126" s="122" t="s">
        <v>745</v>
      </c>
      <c r="P126" s="116"/>
      <c r="Q126" s="83">
        <f t="shared" si="1"/>
        <v>2020</v>
      </c>
      <c r="R126" s="106"/>
    </row>
    <row r="127" spans="1:18" ht="14.5" hidden="1" customHeight="1" x14ac:dyDescent="0.35">
      <c r="A127" s="123" t="s">
        <v>816</v>
      </c>
      <c r="B127" s="124" t="s">
        <v>817</v>
      </c>
      <c r="C127" s="121" t="s">
        <v>37</v>
      </c>
      <c r="D127" s="119">
        <v>0</v>
      </c>
      <c r="E127" s="120" t="s">
        <v>820</v>
      </c>
      <c r="F127" s="6" t="s">
        <v>25</v>
      </c>
      <c r="G127" s="143">
        <v>311092</v>
      </c>
      <c r="H127" s="121" t="s">
        <v>730</v>
      </c>
      <c r="I127" s="122" t="s">
        <v>27</v>
      </c>
      <c r="J127" s="122" t="s">
        <v>27</v>
      </c>
      <c r="K127" s="122" t="s">
        <v>27</v>
      </c>
      <c r="L127" s="122" t="s">
        <v>27</v>
      </c>
      <c r="M127" s="122" t="s">
        <v>27</v>
      </c>
      <c r="N127" s="122" t="s">
        <v>27</v>
      </c>
      <c r="O127" s="122" t="s">
        <v>745</v>
      </c>
      <c r="P127" s="116"/>
      <c r="Q127" s="83">
        <f t="shared" si="1"/>
        <v>2020</v>
      </c>
      <c r="R127" s="106"/>
    </row>
    <row r="128" spans="1:18" ht="14.5" hidden="1" customHeight="1" x14ac:dyDescent="0.35">
      <c r="A128" s="123" t="s">
        <v>816</v>
      </c>
      <c r="B128" s="124" t="s">
        <v>817</v>
      </c>
      <c r="C128" s="121" t="s">
        <v>37</v>
      </c>
      <c r="D128" s="121">
        <v>2</v>
      </c>
      <c r="E128" s="120" t="s">
        <v>821</v>
      </c>
      <c r="F128" s="6" t="s">
        <v>25</v>
      </c>
      <c r="G128" s="143">
        <v>180000</v>
      </c>
      <c r="H128" s="121" t="s">
        <v>730</v>
      </c>
      <c r="I128" s="122" t="s">
        <v>27</v>
      </c>
      <c r="J128" s="122" t="s">
        <v>27</v>
      </c>
      <c r="K128" s="122" t="s">
        <v>27</v>
      </c>
      <c r="L128" s="122" t="s">
        <v>27</v>
      </c>
      <c r="M128" s="122" t="s">
        <v>27</v>
      </c>
      <c r="N128" s="122" t="s">
        <v>27</v>
      </c>
      <c r="O128" s="122" t="s">
        <v>745</v>
      </c>
      <c r="P128" s="116"/>
      <c r="Q128" s="83">
        <f t="shared" si="1"/>
        <v>2020</v>
      </c>
      <c r="R128" s="106"/>
    </row>
    <row r="129" spans="1:18" ht="14.5" hidden="1" customHeight="1" x14ac:dyDescent="0.35">
      <c r="A129" s="118" t="s">
        <v>822</v>
      </c>
      <c r="B129" s="88" t="s">
        <v>823</v>
      </c>
      <c r="C129" s="119" t="s">
        <v>23</v>
      </c>
      <c r="D129" s="119">
        <v>1</v>
      </c>
      <c r="E129" s="120" t="s">
        <v>824</v>
      </c>
      <c r="F129" s="20" t="s">
        <v>25</v>
      </c>
      <c r="G129" s="143">
        <v>35874</v>
      </c>
      <c r="H129" s="119" t="s">
        <v>709</v>
      </c>
      <c r="I129" s="122" t="s">
        <v>27</v>
      </c>
      <c r="J129" s="122" t="s">
        <v>27</v>
      </c>
      <c r="K129" s="122" t="s">
        <v>27</v>
      </c>
      <c r="L129" s="122" t="s">
        <v>27</v>
      </c>
      <c r="M129" s="122" t="s">
        <v>27</v>
      </c>
      <c r="N129" s="122" t="s">
        <v>27</v>
      </c>
      <c r="O129" s="122" t="s">
        <v>709</v>
      </c>
      <c r="P129" s="22" t="s">
        <v>710</v>
      </c>
      <c r="Q129" s="83">
        <f t="shared" si="1"/>
        <v>2020</v>
      </c>
      <c r="R129" s="106"/>
    </row>
    <row r="130" spans="1:18" ht="14.5" hidden="1" customHeight="1" x14ac:dyDescent="0.35">
      <c r="A130" s="118" t="s">
        <v>825</v>
      </c>
      <c r="B130" s="88" t="s">
        <v>826</v>
      </c>
      <c r="C130" s="119" t="s">
        <v>23</v>
      </c>
      <c r="D130" s="119">
        <v>1</v>
      </c>
      <c r="E130" s="120" t="s">
        <v>827</v>
      </c>
      <c r="F130" s="20" t="s">
        <v>25</v>
      </c>
      <c r="G130" s="143">
        <v>88920</v>
      </c>
      <c r="H130" s="121" t="s">
        <v>663</v>
      </c>
      <c r="I130" s="162"/>
      <c r="J130" s="162"/>
      <c r="K130" s="162"/>
      <c r="L130" s="162"/>
      <c r="M130" s="162"/>
      <c r="N130" s="162"/>
      <c r="O130" s="122" t="s">
        <v>664</v>
      </c>
      <c r="P130" s="22"/>
      <c r="Q130" s="83">
        <f t="shared" si="1"/>
        <v>2020</v>
      </c>
      <c r="R130" s="106"/>
    </row>
    <row r="131" spans="1:18" ht="14.5" hidden="1" customHeight="1" x14ac:dyDescent="0.35">
      <c r="A131" s="118" t="s">
        <v>825</v>
      </c>
      <c r="B131" s="88" t="s">
        <v>826</v>
      </c>
      <c r="C131" s="119" t="s">
        <v>23</v>
      </c>
      <c r="D131" s="119" t="s">
        <v>667</v>
      </c>
      <c r="E131" s="120" t="s">
        <v>828</v>
      </c>
      <c r="F131" s="20" t="s">
        <v>25</v>
      </c>
      <c r="G131" s="143">
        <v>36000</v>
      </c>
      <c r="H131" s="121" t="s">
        <v>663</v>
      </c>
      <c r="I131" s="162"/>
      <c r="J131" s="162"/>
      <c r="K131" s="162"/>
      <c r="L131" s="162"/>
      <c r="M131" s="162"/>
      <c r="N131" s="162"/>
      <c r="O131" s="122" t="s">
        <v>664</v>
      </c>
      <c r="P131" s="22"/>
      <c r="Q131" s="83">
        <f t="shared" ref="Q131:Q194" si="2">IFERROR(2000+VALUE(LEFT(A131,2)),"")</f>
        <v>2020</v>
      </c>
      <c r="R131" s="106"/>
    </row>
    <row r="132" spans="1:18" ht="14.5" hidden="1" customHeight="1" x14ac:dyDescent="0.35">
      <c r="A132" s="118" t="s">
        <v>825</v>
      </c>
      <c r="B132" s="88" t="s">
        <v>826</v>
      </c>
      <c r="C132" s="119" t="s">
        <v>23</v>
      </c>
      <c r="D132" s="119">
        <v>2</v>
      </c>
      <c r="E132" s="120" t="s">
        <v>829</v>
      </c>
      <c r="F132" s="20" t="s">
        <v>25</v>
      </c>
      <c r="G132" s="143">
        <v>21750</v>
      </c>
      <c r="H132" s="121" t="s">
        <v>663</v>
      </c>
      <c r="I132" s="162"/>
      <c r="J132" s="162"/>
      <c r="K132" s="162"/>
      <c r="L132" s="162"/>
      <c r="M132" s="162"/>
      <c r="N132" s="162"/>
      <c r="O132" s="122" t="s">
        <v>664</v>
      </c>
      <c r="P132" s="22"/>
      <c r="Q132" s="83">
        <f t="shared" si="2"/>
        <v>2020</v>
      </c>
      <c r="R132" s="106"/>
    </row>
    <row r="133" spans="1:18" ht="14.5" hidden="1" customHeight="1" x14ac:dyDescent="0.35">
      <c r="A133" s="123" t="s">
        <v>830</v>
      </c>
      <c r="B133" s="124" t="s">
        <v>831</v>
      </c>
      <c r="C133" s="121" t="s">
        <v>37</v>
      </c>
      <c r="D133" s="121">
        <v>1</v>
      </c>
      <c r="E133" s="120" t="s">
        <v>832</v>
      </c>
      <c r="F133" s="6" t="s">
        <v>25</v>
      </c>
      <c r="G133" s="143">
        <v>36100</v>
      </c>
      <c r="H133" s="121" t="s">
        <v>730</v>
      </c>
      <c r="I133" s="122" t="s">
        <v>27</v>
      </c>
      <c r="J133" s="122" t="s">
        <v>27</v>
      </c>
      <c r="K133" s="122" t="s">
        <v>27</v>
      </c>
      <c r="L133" s="122" t="s">
        <v>27</v>
      </c>
      <c r="M133" s="122" t="s">
        <v>27</v>
      </c>
      <c r="N133" s="122" t="s">
        <v>27</v>
      </c>
      <c r="O133" s="122" t="s">
        <v>745</v>
      </c>
      <c r="P133" s="116"/>
      <c r="Q133" s="83">
        <f t="shared" si="2"/>
        <v>2020</v>
      </c>
      <c r="R133" s="106"/>
    </row>
    <row r="134" spans="1:18" ht="14.5" hidden="1" customHeight="1" x14ac:dyDescent="0.35">
      <c r="A134" s="123" t="s">
        <v>833</v>
      </c>
      <c r="B134" s="124" t="s">
        <v>834</v>
      </c>
      <c r="C134" s="121" t="s">
        <v>48</v>
      </c>
      <c r="D134" s="121">
        <v>1</v>
      </c>
      <c r="E134" s="120" t="s">
        <v>748</v>
      </c>
      <c r="F134" s="6" t="s">
        <v>25</v>
      </c>
      <c r="G134" s="143">
        <v>16625</v>
      </c>
      <c r="H134" s="121" t="s">
        <v>749</v>
      </c>
      <c r="I134" s="162"/>
      <c r="J134" s="162"/>
      <c r="K134" s="162"/>
      <c r="L134" s="162"/>
      <c r="M134" s="162"/>
      <c r="N134" s="162"/>
      <c r="O134" s="122" t="s">
        <v>664</v>
      </c>
      <c r="P134" s="22"/>
      <c r="Q134" s="83">
        <f t="shared" si="2"/>
        <v>2021</v>
      </c>
      <c r="R134" s="106"/>
    </row>
    <row r="135" spans="1:18" ht="14.5" hidden="1" customHeight="1" x14ac:dyDescent="0.35">
      <c r="A135" s="123" t="s">
        <v>833</v>
      </c>
      <c r="B135" s="124" t="s">
        <v>835</v>
      </c>
      <c r="C135" s="121" t="s">
        <v>48</v>
      </c>
      <c r="D135" s="121">
        <v>2</v>
      </c>
      <c r="E135" s="120" t="s">
        <v>836</v>
      </c>
      <c r="F135" s="6" t="s">
        <v>25</v>
      </c>
      <c r="G135" s="143">
        <v>45500</v>
      </c>
      <c r="H135" s="121" t="s">
        <v>749</v>
      </c>
      <c r="I135" s="162"/>
      <c r="J135" s="162"/>
      <c r="K135" s="162"/>
      <c r="L135" s="162"/>
      <c r="M135" s="162"/>
      <c r="N135" s="162"/>
      <c r="O135" s="122" t="s">
        <v>664</v>
      </c>
      <c r="P135" s="22"/>
      <c r="Q135" s="83">
        <f t="shared" si="2"/>
        <v>2021</v>
      </c>
      <c r="R135" s="106"/>
    </row>
    <row r="136" spans="1:18" ht="14.5" hidden="1" customHeight="1" x14ac:dyDescent="0.35">
      <c r="A136" s="123" t="s">
        <v>833</v>
      </c>
      <c r="B136" s="124" t="s">
        <v>835</v>
      </c>
      <c r="C136" s="121" t="s">
        <v>48</v>
      </c>
      <c r="D136" s="121">
        <v>3</v>
      </c>
      <c r="E136" s="120" t="s">
        <v>837</v>
      </c>
      <c r="F136" s="6" t="s">
        <v>25</v>
      </c>
      <c r="G136" s="143">
        <v>12000</v>
      </c>
      <c r="H136" s="121" t="s">
        <v>749</v>
      </c>
      <c r="I136" s="162"/>
      <c r="J136" s="162"/>
      <c r="K136" s="162"/>
      <c r="L136" s="162"/>
      <c r="M136" s="162"/>
      <c r="N136" s="162"/>
      <c r="O136" s="122" t="s">
        <v>664</v>
      </c>
      <c r="P136" s="22"/>
      <c r="Q136" s="83">
        <f t="shared" si="2"/>
        <v>2021</v>
      </c>
      <c r="R136" s="106"/>
    </row>
    <row r="137" spans="1:18" ht="14.5" hidden="1" customHeight="1" x14ac:dyDescent="0.35">
      <c r="A137" s="123" t="s">
        <v>838</v>
      </c>
      <c r="B137" s="124" t="s">
        <v>839</v>
      </c>
      <c r="C137" s="121" t="s">
        <v>48</v>
      </c>
      <c r="D137" s="121">
        <v>1</v>
      </c>
      <c r="E137" s="120" t="s">
        <v>748</v>
      </c>
      <c r="F137" s="6" t="s">
        <v>25</v>
      </c>
      <c r="G137" s="143">
        <v>16625</v>
      </c>
      <c r="H137" s="121" t="s">
        <v>840</v>
      </c>
      <c r="I137" s="162"/>
      <c r="J137" s="162"/>
      <c r="K137" s="162"/>
      <c r="L137" s="162"/>
      <c r="M137" s="162"/>
      <c r="N137" s="162"/>
      <c r="O137" s="122" t="s">
        <v>664</v>
      </c>
      <c r="P137" s="22"/>
      <c r="Q137" s="83">
        <f t="shared" si="2"/>
        <v>2021</v>
      </c>
      <c r="R137" s="106"/>
    </row>
    <row r="138" spans="1:18" ht="14.5" hidden="1" customHeight="1" x14ac:dyDescent="0.35">
      <c r="A138" s="123" t="s">
        <v>838</v>
      </c>
      <c r="B138" s="124" t="s">
        <v>839</v>
      </c>
      <c r="C138" s="121" t="s">
        <v>48</v>
      </c>
      <c r="D138" s="121">
        <v>2</v>
      </c>
      <c r="E138" s="120" t="s">
        <v>841</v>
      </c>
      <c r="F138" s="6" t="s">
        <v>25</v>
      </c>
      <c r="G138" s="143">
        <v>130000</v>
      </c>
      <c r="H138" s="121" t="s">
        <v>663</v>
      </c>
      <c r="I138" s="162"/>
      <c r="J138" s="162"/>
      <c r="K138" s="162"/>
      <c r="L138" s="162"/>
      <c r="M138" s="162"/>
      <c r="N138" s="162"/>
      <c r="O138" s="122" t="s">
        <v>664</v>
      </c>
      <c r="P138" s="22"/>
      <c r="Q138" s="83">
        <f t="shared" si="2"/>
        <v>2021</v>
      </c>
      <c r="R138" s="106"/>
    </row>
    <row r="139" spans="1:18" ht="14.5" hidden="1" customHeight="1" x14ac:dyDescent="0.35">
      <c r="A139" s="123" t="s">
        <v>838</v>
      </c>
      <c r="B139" s="124" t="s">
        <v>839</v>
      </c>
      <c r="C139" s="121" t="s">
        <v>48</v>
      </c>
      <c r="D139" s="121" t="s">
        <v>755</v>
      </c>
      <c r="E139" s="120" t="s">
        <v>842</v>
      </c>
      <c r="F139" s="6" t="s">
        <v>25</v>
      </c>
      <c r="G139" s="143">
        <v>39750</v>
      </c>
      <c r="H139" s="121" t="s">
        <v>749</v>
      </c>
      <c r="I139" s="162"/>
      <c r="J139" s="162"/>
      <c r="K139" s="162"/>
      <c r="L139" s="162"/>
      <c r="M139" s="162"/>
      <c r="N139" s="162"/>
      <c r="O139" s="122" t="s">
        <v>664</v>
      </c>
      <c r="P139" s="22"/>
      <c r="Q139" s="83">
        <f t="shared" si="2"/>
        <v>2021</v>
      </c>
      <c r="R139" s="106"/>
    </row>
    <row r="140" spans="1:18" ht="14.5" hidden="1" customHeight="1" x14ac:dyDescent="0.35">
      <c r="A140" s="123" t="s">
        <v>838</v>
      </c>
      <c r="B140" s="124" t="s">
        <v>839</v>
      </c>
      <c r="C140" s="121" t="s">
        <v>48</v>
      </c>
      <c r="D140" s="119">
        <v>0</v>
      </c>
      <c r="E140" s="120" t="s">
        <v>843</v>
      </c>
      <c r="F140" s="6" t="s">
        <v>25</v>
      </c>
      <c r="G140" s="143">
        <v>256375</v>
      </c>
      <c r="H140" s="121" t="s">
        <v>749</v>
      </c>
      <c r="I140" s="162"/>
      <c r="J140" s="162"/>
      <c r="K140" s="162"/>
      <c r="L140" s="162"/>
      <c r="M140" s="162"/>
      <c r="N140" s="162"/>
      <c r="O140" s="122" t="s">
        <v>664</v>
      </c>
      <c r="P140" s="22"/>
      <c r="Q140" s="83">
        <f t="shared" si="2"/>
        <v>2021</v>
      </c>
      <c r="R140" s="106"/>
    </row>
    <row r="141" spans="1:18" ht="14.5" hidden="1" customHeight="1" x14ac:dyDescent="0.35">
      <c r="A141" s="123" t="s">
        <v>838</v>
      </c>
      <c r="B141" s="124" t="s">
        <v>839</v>
      </c>
      <c r="C141" s="121" t="s">
        <v>48</v>
      </c>
      <c r="D141" s="121" t="s">
        <v>721</v>
      </c>
      <c r="E141" s="120" t="s">
        <v>844</v>
      </c>
      <c r="F141" s="6" t="s">
        <v>25</v>
      </c>
      <c r="G141" s="143">
        <v>56375</v>
      </c>
      <c r="H141" s="121" t="s">
        <v>749</v>
      </c>
      <c r="I141" s="162"/>
      <c r="J141" s="162"/>
      <c r="K141" s="162"/>
      <c r="L141" s="162"/>
      <c r="M141" s="162"/>
      <c r="N141" s="162"/>
      <c r="O141" s="122" t="s">
        <v>664</v>
      </c>
      <c r="P141" s="22"/>
      <c r="Q141" s="83">
        <f t="shared" si="2"/>
        <v>2021</v>
      </c>
      <c r="R141" s="106"/>
    </row>
    <row r="142" spans="1:18" ht="14.5" hidden="1" customHeight="1" x14ac:dyDescent="0.35">
      <c r="A142" s="123" t="s">
        <v>838</v>
      </c>
      <c r="B142" s="124" t="s">
        <v>839</v>
      </c>
      <c r="C142" s="121" t="s">
        <v>48</v>
      </c>
      <c r="D142" s="119">
        <v>0</v>
      </c>
      <c r="E142" s="120" t="s">
        <v>843</v>
      </c>
      <c r="F142" s="6" t="s">
        <v>25</v>
      </c>
      <c r="G142" s="143">
        <v>256375</v>
      </c>
      <c r="H142" s="121" t="s">
        <v>749</v>
      </c>
      <c r="I142" s="162"/>
      <c r="J142" s="162"/>
      <c r="K142" s="162"/>
      <c r="L142" s="162"/>
      <c r="M142" s="162"/>
      <c r="N142" s="162"/>
      <c r="O142" s="122" t="s">
        <v>664</v>
      </c>
      <c r="P142" s="75"/>
      <c r="Q142" s="83">
        <f t="shared" si="2"/>
        <v>2021</v>
      </c>
      <c r="R142" s="106"/>
    </row>
    <row r="143" spans="1:18" ht="14.5" hidden="1" customHeight="1" x14ac:dyDescent="0.35">
      <c r="A143" s="123" t="s">
        <v>838</v>
      </c>
      <c r="B143" s="124" t="s">
        <v>839</v>
      </c>
      <c r="C143" s="121" t="s">
        <v>48</v>
      </c>
      <c r="D143" s="121">
        <v>3</v>
      </c>
      <c r="E143" s="120" t="s">
        <v>845</v>
      </c>
      <c r="F143" s="6" t="s">
        <v>25</v>
      </c>
      <c r="G143" s="143">
        <v>7500</v>
      </c>
      <c r="H143" s="121" t="s">
        <v>749</v>
      </c>
      <c r="I143" s="162"/>
      <c r="J143" s="162"/>
      <c r="K143" s="162"/>
      <c r="L143" s="162"/>
      <c r="M143" s="162"/>
      <c r="N143" s="162"/>
      <c r="O143" s="122" t="s">
        <v>664</v>
      </c>
      <c r="P143" s="22"/>
      <c r="Q143" s="83">
        <f t="shared" si="2"/>
        <v>2021</v>
      </c>
      <c r="R143" s="106"/>
    </row>
    <row r="144" spans="1:18" ht="14.5" hidden="1" customHeight="1" x14ac:dyDescent="0.35">
      <c r="A144" s="123" t="s">
        <v>846</v>
      </c>
      <c r="B144" s="124" t="s">
        <v>847</v>
      </c>
      <c r="C144" s="121" t="s">
        <v>48</v>
      </c>
      <c r="D144" s="121">
        <v>1</v>
      </c>
      <c r="E144" s="120" t="s">
        <v>748</v>
      </c>
      <c r="F144" s="6" t="s">
        <v>25</v>
      </c>
      <c r="G144" s="143">
        <v>16625</v>
      </c>
      <c r="H144" s="121" t="s">
        <v>840</v>
      </c>
      <c r="I144" s="162"/>
      <c r="J144" s="162"/>
      <c r="K144" s="162"/>
      <c r="L144" s="162"/>
      <c r="M144" s="162"/>
      <c r="N144" s="162"/>
      <c r="O144" s="122" t="s">
        <v>664</v>
      </c>
      <c r="P144" s="22"/>
      <c r="Q144" s="83">
        <f t="shared" si="2"/>
        <v>2021</v>
      </c>
      <c r="R144" s="106"/>
    </row>
    <row r="145" spans="1:18" ht="14.5" hidden="1" x14ac:dyDescent="0.35">
      <c r="A145" s="123" t="s">
        <v>846</v>
      </c>
      <c r="B145" s="124" t="s">
        <v>847</v>
      </c>
      <c r="C145" s="121" t="s">
        <v>48</v>
      </c>
      <c r="D145" s="121">
        <v>2</v>
      </c>
      <c r="E145" s="120" t="s">
        <v>848</v>
      </c>
      <c r="F145" s="6" t="s">
        <v>25</v>
      </c>
      <c r="G145" s="143">
        <v>168000</v>
      </c>
      <c r="H145" s="121" t="s">
        <v>663</v>
      </c>
      <c r="I145" s="162"/>
      <c r="J145" s="162"/>
      <c r="K145" s="162"/>
      <c r="L145" s="162"/>
      <c r="M145" s="162"/>
      <c r="N145" s="162"/>
      <c r="O145" s="122" t="s">
        <v>664</v>
      </c>
      <c r="P145" s="22"/>
      <c r="Q145" s="83">
        <f t="shared" si="2"/>
        <v>2021</v>
      </c>
      <c r="R145" s="106"/>
    </row>
    <row r="146" spans="1:18" ht="14.5" hidden="1" customHeight="1" x14ac:dyDescent="0.35">
      <c r="A146" s="123" t="s">
        <v>846</v>
      </c>
      <c r="B146" s="124" t="s">
        <v>847</v>
      </c>
      <c r="C146" s="121" t="s">
        <v>48</v>
      </c>
      <c r="D146" s="121" t="s">
        <v>755</v>
      </c>
      <c r="E146" s="120" t="s">
        <v>842</v>
      </c>
      <c r="F146" s="6" t="s">
        <v>25</v>
      </c>
      <c r="G146" s="143">
        <v>59750</v>
      </c>
      <c r="H146" s="121" t="s">
        <v>749</v>
      </c>
      <c r="I146" s="162"/>
      <c r="J146" s="162"/>
      <c r="K146" s="162"/>
      <c r="L146" s="162"/>
      <c r="M146" s="162"/>
      <c r="N146" s="162"/>
      <c r="O146" s="122" t="s">
        <v>664</v>
      </c>
      <c r="P146" s="22"/>
      <c r="Q146" s="83">
        <f t="shared" si="2"/>
        <v>2021</v>
      </c>
      <c r="R146" s="106"/>
    </row>
    <row r="147" spans="1:18" ht="14.5" hidden="1" customHeight="1" x14ac:dyDescent="0.35">
      <c r="A147" s="123" t="s">
        <v>846</v>
      </c>
      <c r="B147" s="124" t="s">
        <v>847</v>
      </c>
      <c r="C147" s="121" t="s">
        <v>48</v>
      </c>
      <c r="D147" s="119">
        <v>0</v>
      </c>
      <c r="E147" s="120" t="s">
        <v>843</v>
      </c>
      <c r="F147" s="6" t="s">
        <v>25</v>
      </c>
      <c r="G147" s="143">
        <v>276375</v>
      </c>
      <c r="H147" s="121" t="s">
        <v>749</v>
      </c>
      <c r="I147" s="162"/>
      <c r="J147" s="162"/>
      <c r="K147" s="162"/>
      <c r="L147" s="162"/>
      <c r="M147" s="162"/>
      <c r="N147" s="162"/>
      <c r="O147" s="122" t="s">
        <v>664</v>
      </c>
      <c r="P147" s="22"/>
      <c r="Q147" s="83">
        <f t="shared" si="2"/>
        <v>2021</v>
      </c>
      <c r="R147" s="106"/>
    </row>
    <row r="148" spans="1:18" ht="14.5" hidden="1" customHeight="1" x14ac:dyDescent="0.35">
      <c r="A148" s="123" t="s">
        <v>846</v>
      </c>
      <c r="B148" s="124" t="s">
        <v>847</v>
      </c>
      <c r="C148" s="121" t="s">
        <v>48</v>
      </c>
      <c r="D148" s="121" t="s">
        <v>721</v>
      </c>
      <c r="E148" s="120" t="s">
        <v>844</v>
      </c>
      <c r="F148" s="6" t="s">
        <v>25</v>
      </c>
      <c r="G148" s="143">
        <v>76375</v>
      </c>
      <c r="H148" s="121" t="s">
        <v>749</v>
      </c>
      <c r="I148" s="162"/>
      <c r="J148" s="162"/>
      <c r="K148" s="162"/>
      <c r="L148" s="162"/>
      <c r="M148" s="162"/>
      <c r="N148" s="162"/>
      <c r="O148" s="122" t="s">
        <v>664</v>
      </c>
      <c r="P148" s="22"/>
      <c r="Q148" s="83">
        <f t="shared" si="2"/>
        <v>2021</v>
      </c>
      <c r="R148" s="106"/>
    </row>
    <row r="149" spans="1:18" ht="14.5" hidden="1" customHeight="1" x14ac:dyDescent="0.35">
      <c r="A149" s="123" t="s">
        <v>846</v>
      </c>
      <c r="B149" s="124" t="s">
        <v>847</v>
      </c>
      <c r="C149" s="121" t="s">
        <v>48</v>
      </c>
      <c r="D149" s="119">
        <v>0</v>
      </c>
      <c r="E149" s="120" t="s">
        <v>843</v>
      </c>
      <c r="F149" s="6" t="s">
        <v>25</v>
      </c>
      <c r="G149" s="143">
        <v>276375</v>
      </c>
      <c r="H149" s="121" t="s">
        <v>749</v>
      </c>
      <c r="I149" s="162"/>
      <c r="J149" s="162"/>
      <c r="K149" s="162"/>
      <c r="L149" s="162"/>
      <c r="M149" s="162"/>
      <c r="N149" s="162"/>
      <c r="O149" s="122" t="s">
        <v>664</v>
      </c>
      <c r="P149" s="22"/>
      <c r="Q149" s="83">
        <f t="shared" si="2"/>
        <v>2021</v>
      </c>
      <c r="R149" s="106"/>
    </row>
    <row r="150" spans="1:18" ht="14.5" hidden="1" customHeight="1" x14ac:dyDescent="0.35">
      <c r="A150" s="123" t="s">
        <v>846</v>
      </c>
      <c r="B150" s="124" t="s">
        <v>847</v>
      </c>
      <c r="C150" s="121" t="s">
        <v>48</v>
      </c>
      <c r="D150" s="121">
        <v>3</v>
      </c>
      <c r="E150" s="120" t="s">
        <v>849</v>
      </c>
      <c r="F150" s="6" t="s">
        <v>25</v>
      </c>
      <c r="G150" s="143">
        <v>33750</v>
      </c>
      <c r="H150" s="121" t="s">
        <v>663</v>
      </c>
      <c r="I150" s="162"/>
      <c r="J150" s="162"/>
      <c r="K150" s="162"/>
      <c r="L150" s="162"/>
      <c r="M150" s="162"/>
      <c r="N150" s="162"/>
      <c r="O150" s="122" t="s">
        <v>664</v>
      </c>
      <c r="P150" s="22"/>
      <c r="Q150" s="83">
        <f t="shared" si="2"/>
        <v>2021</v>
      </c>
      <c r="R150" s="106"/>
    </row>
    <row r="151" spans="1:18" ht="14.5" hidden="1" customHeight="1" x14ac:dyDescent="0.35">
      <c r="A151" s="123" t="s">
        <v>846</v>
      </c>
      <c r="B151" s="124" t="s">
        <v>847</v>
      </c>
      <c r="C151" s="121" t="s">
        <v>48</v>
      </c>
      <c r="D151" s="121" t="s">
        <v>671</v>
      </c>
      <c r="E151" s="120" t="s">
        <v>849</v>
      </c>
      <c r="F151" s="6" t="s">
        <v>25</v>
      </c>
      <c r="G151" s="143">
        <v>71719</v>
      </c>
      <c r="H151" s="121" t="s">
        <v>663</v>
      </c>
      <c r="I151" s="162"/>
      <c r="J151" s="162"/>
      <c r="K151" s="162"/>
      <c r="L151" s="162"/>
      <c r="M151" s="162"/>
      <c r="N151" s="162"/>
      <c r="O151" s="122" t="s">
        <v>664</v>
      </c>
      <c r="P151" s="22"/>
      <c r="Q151" s="83">
        <f t="shared" si="2"/>
        <v>2021</v>
      </c>
      <c r="R151" s="106"/>
    </row>
    <row r="152" spans="1:18" ht="14.5" hidden="1" customHeight="1" x14ac:dyDescent="0.35">
      <c r="A152" s="123" t="s">
        <v>846</v>
      </c>
      <c r="B152" s="124" t="s">
        <v>847</v>
      </c>
      <c r="C152" s="121" t="s">
        <v>48</v>
      </c>
      <c r="D152" s="121" t="s">
        <v>769</v>
      </c>
      <c r="E152" s="120" t="s">
        <v>849</v>
      </c>
      <c r="F152" s="6" t="s">
        <v>25</v>
      </c>
      <c r="G152" s="143">
        <v>61075</v>
      </c>
      <c r="H152" s="121" t="s">
        <v>749</v>
      </c>
      <c r="I152" s="162"/>
      <c r="J152" s="162"/>
      <c r="K152" s="162"/>
      <c r="L152" s="162"/>
      <c r="M152" s="162"/>
      <c r="N152" s="162"/>
      <c r="O152" s="122" t="s">
        <v>664</v>
      </c>
      <c r="P152" s="22"/>
      <c r="Q152" s="83">
        <f t="shared" si="2"/>
        <v>2021</v>
      </c>
      <c r="R152" s="106"/>
    </row>
    <row r="153" spans="1:18" ht="14.5" hidden="1" customHeight="1" x14ac:dyDescent="0.35">
      <c r="A153" s="118" t="s">
        <v>850</v>
      </c>
      <c r="B153" s="88" t="s">
        <v>851</v>
      </c>
      <c r="C153" s="119" t="s">
        <v>23</v>
      </c>
      <c r="D153" s="119">
        <v>1</v>
      </c>
      <c r="E153" s="120" t="s">
        <v>716</v>
      </c>
      <c r="F153" s="6" t="s">
        <v>25</v>
      </c>
      <c r="G153" s="143">
        <v>14000</v>
      </c>
      <c r="H153" s="119" t="s">
        <v>709</v>
      </c>
      <c r="I153" s="122" t="s">
        <v>27</v>
      </c>
      <c r="J153" s="122" t="s">
        <v>27</v>
      </c>
      <c r="K153" s="122" t="s">
        <v>27</v>
      </c>
      <c r="L153" s="122" t="s">
        <v>27</v>
      </c>
      <c r="M153" s="122" t="s">
        <v>27</v>
      </c>
      <c r="N153" s="122" t="s">
        <v>27</v>
      </c>
      <c r="O153" s="122" t="s">
        <v>709</v>
      </c>
      <c r="P153" s="22" t="s">
        <v>710</v>
      </c>
      <c r="Q153" s="83">
        <f t="shared" si="2"/>
        <v>2021</v>
      </c>
      <c r="R153" s="106"/>
    </row>
    <row r="154" spans="1:18" ht="14.5" customHeight="1" x14ac:dyDescent="0.35">
      <c r="A154" s="118" t="s">
        <v>850</v>
      </c>
      <c r="B154" s="88" t="s">
        <v>851</v>
      </c>
      <c r="C154" s="119" t="s">
        <v>23</v>
      </c>
      <c r="D154" s="119">
        <v>2</v>
      </c>
      <c r="E154" s="120" t="s">
        <v>852</v>
      </c>
      <c r="F154" s="6" t="s">
        <v>25</v>
      </c>
      <c r="G154" s="143">
        <v>25000</v>
      </c>
      <c r="H154" s="119" t="s">
        <v>730</v>
      </c>
      <c r="I154" s="163" t="s">
        <v>27</v>
      </c>
      <c r="J154" s="163" t="s">
        <v>27</v>
      </c>
      <c r="K154" s="163" t="s">
        <v>27</v>
      </c>
      <c r="L154" s="6" t="s">
        <v>28</v>
      </c>
      <c r="M154" s="122"/>
      <c r="N154" s="122"/>
      <c r="O154" s="122" t="s">
        <v>756</v>
      </c>
      <c r="P154" s="164" t="s">
        <v>853</v>
      </c>
      <c r="Q154" s="83">
        <f t="shared" si="2"/>
        <v>2021</v>
      </c>
      <c r="R154" s="127">
        <v>44907</v>
      </c>
    </row>
    <row r="155" spans="1:18" ht="14.5" hidden="1" customHeight="1" x14ac:dyDescent="0.35">
      <c r="A155" s="118" t="s">
        <v>850</v>
      </c>
      <c r="B155" s="88" t="s">
        <v>851</v>
      </c>
      <c r="C155" s="119" t="s">
        <v>23</v>
      </c>
      <c r="D155" s="119">
        <v>3</v>
      </c>
      <c r="E155" s="120" t="s">
        <v>716</v>
      </c>
      <c r="F155" s="6" t="s">
        <v>25</v>
      </c>
      <c r="G155" s="143">
        <v>13000</v>
      </c>
      <c r="H155" s="119" t="s">
        <v>709</v>
      </c>
      <c r="I155" s="122" t="s">
        <v>27</v>
      </c>
      <c r="J155" s="122" t="s">
        <v>27</v>
      </c>
      <c r="K155" s="122" t="s">
        <v>27</v>
      </c>
      <c r="L155" s="122" t="s">
        <v>27</v>
      </c>
      <c r="M155" s="122" t="s">
        <v>27</v>
      </c>
      <c r="N155" s="122" t="s">
        <v>27</v>
      </c>
      <c r="O155" s="122" t="s">
        <v>709</v>
      </c>
      <c r="P155" s="22" t="s">
        <v>710</v>
      </c>
      <c r="Q155" s="83">
        <f t="shared" si="2"/>
        <v>2021</v>
      </c>
      <c r="R155" s="106"/>
    </row>
    <row r="156" spans="1:18" ht="14.5" hidden="1" customHeight="1" x14ac:dyDescent="0.35">
      <c r="A156" s="118" t="s">
        <v>854</v>
      </c>
      <c r="B156" s="88" t="s">
        <v>855</v>
      </c>
      <c r="C156" s="119" t="s">
        <v>82</v>
      </c>
      <c r="D156" s="119">
        <v>2</v>
      </c>
      <c r="E156" s="120" t="s">
        <v>856</v>
      </c>
      <c r="F156" s="6" t="s">
        <v>44</v>
      </c>
      <c r="G156" s="143">
        <v>560000</v>
      </c>
      <c r="H156" s="119" t="s">
        <v>709</v>
      </c>
      <c r="I156" s="122" t="s">
        <v>27</v>
      </c>
      <c r="J156" s="122" t="s">
        <v>27</v>
      </c>
      <c r="K156" s="122" t="s">
        <v>27</v>
      </c>
      <c r="L156" s="122" t="s">
        <v>27</v>
      </c>
      <c r="M156" s="122" t="s">
        <v>27</v>
      </c>
      <c r="N156" s="122" t="s">
        <v>27</v>
      </c>
      <c r="O156" s="122" t="s">
        <v>709</v>
      </c>
      <c r="P156" s="22" t="s">
        <v>710</v>
      </c>
      <c r="Q156" s="83">
        <f t="shared" si="2"/>
        <v>2021</v>
      </c>
      <c r="R156" s="106"/>
    </row>
    <row r="157" spans="1:18" ht="14.5" hidden="1" customHeight="1" x14ac:dyDescent="0.35">
      <c r="A157" s="118" t="s">
        <v>854</v>
      </c>
      <c r="B157" s="88" t="s">
        <v>855</v>
      </c>
      <c r="C157" s="119" t="s">
        <v>82</v>
      </c>
      <c r="D157" s="119">
        <v>3</v>
      </c>
      <c r="E157" s="120" t="s">
        <v>857</v>
      </c>
      <c r="F157" s="6" t="s">
        <v>44</v>
      </c>
      <c r="G157" s="143">
        <v>144000</v>
      </c>
      <c r="H157" s="119" t="s">
        <v>709</v>
      </c>
      <c r="I157" s="122" t="s">
        <v>27</v>
      </c>
      <c r="J157" s="122" t="s">
        <v>27</v>
      </c>
      <c r="K157" s="122" t="s">
        <v>27</v>
      </c>
      <c r="L157" s="122" t="s">
        <v>27</v>
      </c>
      <c r="M157" s="122" t="s">
        <v>27</v>
      </c>
      <c r="N157" s="122" t="s">
        <v>27</v>
      </c>
      <c r="O157" s="122" t="s">
        <v>709</v>
      </c>
      <c r="P157" s="22" t="s">
        <v>710</v>
      </c>
      <c r="Q157" s="83">
        <f t="shared" si="2"/>
        <v>2021</v>
      </c>
      <c r="R157" s="106"/>
    </row>
    <row r="158" spans="1:18" ht="14.5" hidden="1" customHeight="1" x14ac:dyDescent="0.35">
      <c r="A158" s="118" t="s">
        <v>854</v>
      </c>
      <c r="B158" s="88" t="s">
        <v>855</v>
      </c>
      <c r="C158" s="119" t="s">
        <v>82</v>
      </c>
      <c r="D158" s="119">
        <v>4</v>
      </c>
      <c r="E158" s="120" t="s">
        <v>858</v>
      </c>
      <c r="F158" s="6" t="s">
        <v>44</v>
      </c>
      <c r="G158" s="143">
        <v>98000</v>
      </c>
      <c r="H158" s="119" t="s">
        <v>709</v>
      </c>
      <c r="I158" s="122" t="s">
        <v>27</v>
      </c>
      <c r="J158" s="122" t="s">
        <v>27</v>
      </c>
      <c r="K158" s="122" t="s">
        <v>27</v>
      </c>
      <c r="L158" s="122" t="s">
        <v>27</v>
      </c>
      <c r="M158" s="122" t="s">
        <v>27</v>
      </c>
      <c r="N158" s="122" t="s">
        <v>27</v>
      </c>
      <c r="O158" s="122" t="s">
        <v>709</v>
      </c>
      <c r="P158" s="22" t="s">
        <v>710</v>
      </c>
      <c r="Q158" s="83">
        <f t="shared" si="2"/>
        <v>2021</v>
      </c>
      <c r="R158" s="106"/>
    </row>
    <row r="159" spans="1:18" ht="14.5" hidden="1" customHeight="1" x14ac:dyDescent="0.35">
      <c r="A159" s="118" t="s">
        <v>854</v>
      </c>
      <c r="B159" s="88" t="s">
        <v>855</v>
      </c>
      <c r="C159" s="119" t="s">
        <v>82</v>
      </c>
      <c r="D159" s="119">
        <v>5</v>
      </c>
      <c r="E159" s="120" t="s">
        <v>859</v>
      </c>
      <c r="F159" s="6" t="s">
        <v>44</v>
      </c>
      <c r="G159" s="143">
        <v>117325</v>
      </c>
      <c r="H159" s="119" t="s">
        <v>709</v>
      </c>
      <c r="I159" s="122" t="s">
        <v>27</v>
      </c>
      <c r="J159" s="122" t="s">
        <v>27</v>
      </c>
      <c r="K159" s="122" t="s">
        <v>27</v>
      </c>
      <c r="L159" s="122" t="s">
        <v>27</v>
      </c>
      <c r="M159" s="122" t="s">
        <v>27</v>
      </c>
      <c r="N159" s="122" t="s">
        <v>27</v>
      </c>
      <c r="O159" s="122" t="s">
        <v>709</v>
      </c>
      <c r="P159" s="22" t="s">
        <v>710</v>
      </c>
      <c r="Q159" s="83">
        <f t="shared" si="2"/>
        <v>2021</v>
      </c>
      <c r="R159" s="106"/>
    </row>
    <row r="160" spans="1:18" ht="14.5" hidden="1" customHeight="1" x14ac:dyDescent="0.35">
      <c r="A160" s="118" t="s">
        <v>854</v>
      </c>
      <c r="B160" s="88" t="s">
        <v>855</v>
      </c>
      <c r="C160" s="119" t="s">
        <v>82</v>
      </c>
      <c r="D160" s="119">
        <v>6</v>
      </c>
      <c r="E160" s="120" t="s">
        <v>860</v>
      </c>
      <c r="F160" s="6" t="s">
        <v>44</v>
      </c>
      <c r="G160" s="143">
        <v>242250</v>
      </c>
      <c r="H160" s="119" t="s">
        <v>709</v>
      </c>
      <c r="I160" s="122" t="s">
        <v>27</v>
      </c>
      <c r="J160" s="122" t="s">
        <v>27</v>
      </c>
      <c r="K160" s="122" t="s">
        <v>27</v>
      </c>
      <c r="L160" s="122" t="s">
        <v>27</v>
      </c>
      <c r="M160" s="122" t="s">
        <v>27</v>
      </c>
      <c r="N160" s="122" t="s">
        <v>27</v>
      </c>
      <c r="O160" s="122" t="s">
        <v>709</v>
      </c>
      <c r="P160" s="22" t="s">
        <v>710</v>
      </c>
      <c r="Q160" s="83">
        <f t="shared" si="2"/>
        <v>2021</v>
      </c>
      <c r="R160" s="106"/>
    </row>
    <row r="161" spans="1:18" ht="14.5" hidden="1" customHeight="1" x14ac:dyDescent="0.35">
      <c r="A161" s="118" t="s">
        <v>854</v>
      </c>
      <c r="B161" s="88" t="s">
        <v>855</v>
      </c>
      <c r="C161" s="119" t="s">
        <v>82</v>
      </c>
      <c r="D161" s="119">
        <v>7</v>
      </c>
      <c r="E161" s="120" t="s">
        <v>861</v>
      </c>
      <c r="F161" s="6" t="s">
        <v>44</v>
      </c>
      <c r="G161" s="143">
        <v>39800</v>
      </c>
      <c r="H161" s="119" t="s">
        <v>709</v>
      </c>
      <c r="I161" s="122" t="s">
        <v>27</v>
      </c>
      <c r="J161" s="122" t="s">
        <v>27</v>
      </c>
      <c r="K161" s="122" t="s">
        <v>27</v>
      </c>
      <c r="L161" s="122" t="s">
        <v>27</v>
      </c>
      <c r="M161" s="122" t="s">
        <v>27</v>
      </c>
      <c r="N161" s="122" t="s">
        <v>27</v>
      </c>
      <c r="O161" s="122" t="s">
        <v>709</v>
      </c>
      <c r="P161" s="22" t="s">
        <v>710</v>
      </c>
      <c r="Q161" s="83">
        <f t="shared" si="2"/>
        <v>2021</v>
      </c>
      <c r="R161" s="106"/>
    </row>
    <row r="162" spans="1:18" ht="14.5" hidden="1" customHeight="1" x14ac:dyDescent="0.35">
      <c r="A162" s="118" t="s">
        <v>854</v>
      </c>
      <c r="B162" s="88" t="s">
        <v>855</v>
      </c>
      <c r="C162" s="119" t="s">
        <v>82</v>
      </c>
      <c r="D162" s="119">
        <v>8</v>
      </c>
      <c r="E162" s="120" t="s">
        <v>862</v>
      </c>
      <c r="F162" s="6" t="s">
        <v>44</v>
      </c>
      <c r="G162" s="143">
        <v>390000</v>
      </c>
      <c r="H162" s="119" t="s">
        <v>709</v>
      </c>
      <c r="I162" s="122" t="s">
        <v>27</v>
      </c>
      <c r="J162" s="122" t="s">
        <v>27</v>
      </c>
      <c r="K162" s="122" t="s">
        <v>27</v>
      </c>
      <c r="L162" s="122" t="s">
        <v>27</v>
      </c>
      <c r="M162" s="122" t="s">
        <v>27</v>
      </c>
      <c r="N162" s="122" t="s">
        <v>27</v>
      </c>
      <c r="O162" s="122" t="s">
        <v>709</v>
      </c>
      <c r="P162" s="22" t="s">
        <v>710</v>
      </c>
      <c r="Q162" s="83">
        <f t="shared" si="2"/>
        <v>2021</v>
      </c>
      <c r="R162" s="106"/>
    </row>
    <row r="163" spans="1:18" ht="14.5" hidden="1" customHeight="1" x14ac:dyDescent="0.35">
      <c r="A163" s="118" t="s">
        <v>854</v>
      </c>
      <c r="B163" s="88" t="s">
        <v>855</v>
      </c>
      <c r="C163" s="119" t="s">
        <v>82</v>
      </c>
      <c r="D163" s="119">
        <v>9</v>
      </c>
      <c r="E163" s="120" t="s">
        <v>863</v>
      </c>
      <c r="F163" s="6" t="s">
        <v>44</v>
      </c>
      <c r="G163" s="143">
        <v>89800</v>
      </c>
      <c r="H163" s="119" t="s">
        <v>709</v>
      </c>
      <c r="I163" s="122" t="s">
        <v>27</v>
      </c>
      <c r="J163" s="122" t="s">
        <v>27</v>
      </c>
      <c r="K163" s="122" t="s">
        <v>27</v>
      </c>
      <c r="L163" s="122" t="s">
        <v>27</v>
      </c>
      <c r="M163" s="122" t="s">
        <v>27</v>
      </c>
      <c r="N163" s="122" t="s">
        <v>27</v>
      </c>
      <c r="O163" s="122" t="s">
        <v>709</v>
      </c>
      <c r="P163" s="22" t="s">
        <v>710</v>
      </c>
      <c r="Q163" s="83">
        <f t="shared" si="2"/>
        <v>2021</v>
      </c>
      <c r="R163" s="106"/>
    </row>
    <row r="164" spans="1:18" ht="14.5" hidden="1" customHeight="1" x14ac:dyDescent="0.35">
      <c r="A164" s="123" t="s">
        <v>864</v>
      </c>
      <c r="B164" s="124" t="s">
        <v>865</v>
      </c>
      <c r="C164" s="121" t="s">
        <v>48</v>
      </c>
      <c r="D164" s="121">
        <v>1</v>
      </c>
      <c r="E164" s="120" t="s">
        <v>866</v>
      </c>
      <c r="F164" s="6" t="s">
        <v>25</v>
      </c>
      <c r="G164" s="143">
        <v>118375</v>
      </c>
      <c r="H164" s="121" t="s">
        <v>749</v>
      </c>
      <c r="I164" s="162"/>
      <c r="J164" s="162"/>
      <c r="K164" s="162"/>
      <c r="L164" s="162"/>
      <c r="M164" s="162"/>
      <c r="N164" s="162"/>
      <c r="O164" s="122" t="s">
        <v>664</v>
      </c>
      <c r="P164" s="22"/>
      <c r="Q164" s="83">
        <f t="shared" si="2"/>
        <v>2021</v>
      </c>
      <c r="R164" s="106"/>
    </row>
    <row r="165" spans="1:18" ht="14.5" hidden="1" customHeight="1" x14ac:dyDescent="0.35">
      <c r="A165" s="123" t="s">
        <v>864</v>
      </c>
      <c r="B165" s="124" t="s">
        <v>865</v>
      </c>
      <c r="C165" s="121" t="s">
        <v>48</v>
      </c>
      <c r="D165" s="119">
        <v>0</v>
      </c>
      <c r="E165" s="120" t="s">
        <v>843</v>
      </c>
      <c r="F165" s="6" t="s">
        <v>25</v>
      </c>
      <c r="G165" s="143">
        <v>318000</v>
      </c>
      <c r="H165" s="121" t="s">
        <v>749</v>
      </c>
      <c r="I165" s="162"/>
      <c r="J165" s="162"/>
      <c r="K165" s="162"/>
      <c r="L165" s="162"/>
      <c r="M165" s="162"/>
      <c r="N165" s="162"/>
      <c r="O165" s="122" t="s">
        <v>664</v>
      </c>
      <c r="P165" s="22"/>
      <c r="Q165" s="83">
        <f t="shared" si="2"/>
        <v>2021</v>
      </c>
      <c r="R165" s="106"/>
    </row>
    <row r="166" spans="1:18" ht="14.5" hidden="1" customHeight="1" x14ac:dyDescent="0.35">
      <c r="A166" s="123" t="s">
        <v>867</v>
      </c>
      <c r="B166" s="124" t="s">
        <v>868</v>
      </c>
      <c r="C166" s="121" t="s">
        <v>48</v>
      </c>
      <c r="D166" s="121">
        <v>1</v>
      </c>
      <c r="E166" s="120" t="s">
        <v>866</v>
      </c>
      <c r="F166" s="6" t="s">
        <v>25</v>
      </c>
      <c r="G166" s="143">
        <v>69095</v>
      </c>
      <c r="H166" s="121" t="s">
        <v>749</v>
      </c>
      <c r="I166" s="162"/>
      <c r="J166" s="162"/>
      <c r="K166" s="162"/>
      <c r="L166" s="162"/>
      <c r="M166" s="162"/>
      <c r="N166" s="162"/>
      <c r="O166" s="122" t="s">
        <v>664</v>
      </c>
      <c r="P166" s="22"/>
      <c r="Q166" s="83">
        <f t="shared" si="2"/>
        <v>2021</v>
      </c>
      <c r="R166" s="106"/>
    </row>
    <row r="167" spans="1:18" ht="14.5" hidden="1" customHeight="1" x14ac:dyDescent="0.35">
      <c r="A167" s="123" t="s">
        <v>867</v>
      </c>
      <c r="B167" s="124" t="s">
        <v>868</v>
      </c>
      <c r="C167" s="121" t="s">
        <v>48</v>
      </c>
      <c r="D167" s="119">
        <v>0</v>
      </c>
      <c r="E167" s="120" t="s">
        <v>843</v>
      </c>
      <c r="F167" s="6" t="s">
        <v>25</v>
      </c>
      <c r="G167" s="143">
        <v>268720</v>
      </c>
      <c r="H167" s="121" t="s">
        <v>749</v>
      </c>
      <c r="I167" s="162"/>
      <c r="J167" s="162"/>
      <c r="K167" s="162"/>
      <c r="L167" s="162"/>
      <c r="M167" s="162"/>
      <c r="N167" s="162"/>
      <c r="O167" s="122" t="s">
        <v>664</v>
      </c>
      <c r="P167" s="22"/>
      <c r="Q167" s="83">
        <f t="shared" si="2"/>
        <v>2021</v>
      </c>
      <c r="R167" s="106"/>
    </row>
    <row r="168" spans="1:18" ht="14.5" customHeight="1" x14ac:dyDescent="0.35">
      <c r="A168" s="123" t="s">
        <v>869</v>
      </c>
      <c r="B168" s="124" t="s">
        <v>870</v>
      </c>
      <c r="C168" s="121" t="s">
        <v>66</v>
      </c>
      <c r="D168" s="121">
        <v>1</v>
      </c>
      <c r="E168" s="120" t="s">
        <v>827</v>
      </c>
      <c r="F168" s="20" t="s">
        <v>25</v>
      </c>
      <c r="G168" s="143">
        <v>60800</v>
      </c>
      <c r="H168" s="121" t="s">
        <v>730</v>
      </c>
      <c r="I168" s="122" t="s">
        <v>27</v>
      </c>
      <c r="J168" s="122" t="s">
        <v>27</v>
      </c>
      <c r="K168" s="6" t="s">
        <v>28</v>
      </c>
      <c r="L168" s="122"/>
      <c r="M168" s="122"/>
      <c r="N168" s="122"/>
      <c r="O168" s="122" t="s">
        <v>756</v>
      </c>
      <c r="P168" s="121" t="s">
        <v>871</v>
      </c>
      <c r="Q168" s="83">
        <f t="shared" si="2"/>
        <v>2021</v>
      </c>
      <c r="R168" s="125">
        <v>45686</v>
      </c>
    </row>
    <row r="169" spans="1:18" ht="14.5" x14ac:dyDescent="0.35">
      <c r="A169" s="123" t="s">
        <v>869</v>
      </c>
      <c r="B169" s="124" t="s">
        <v>870</v>
      </c>
      <c r="C169" s="121" t="s">
        <v>66</v>
      </c>
      <c r="D169" s="121">
        <v>2</v>
      </c>
      <c r="E169" s="120" t="s">
        <v>872</v>
      </c>
      <c r="F169" s="20" t="s">
        <v>25</v>
      </c>
      <c r="G169" s="143">
        <v>11000</v>
      </c>
      <c r="H169" s="121" t="s">
        <v>730</v>
      </c>
      <c r="I169" s="122" t="s">
        <v>27</v>
      </c>
      <c r="J169" s="122" t="s">
        <v>27</v>
      </c>
      <c r="K169" s="6" t="s">
        <v>28</v>
      </c>
      <c r="L169" s="122"/>
      <c r="M169" s="122"/>
      <c r="N169" s="122"/>
      <c r="O169" s="122" t="s">
        <v>756</v>
      </c>
      <c r="P169" s="121" t="s">
        <v>871</v>
      </c>
      <c r="Q169" s="83">
        <f t="shared" si="2"/>
        <v>2021</v>
      </c>
      <c r="R169" s="125">
        <v>45924</v>
      </c>
    </row>
    <row r="170" spans="1:18" ht="14.5" hidden="1" customHeight="1" x14ac:dyDescent="0.35">
      <c r="A170" s="118" t="s">
        <v>873</v>
      </c>
      <c r="B170" s="88" t="s">
        <v>874</v>
      </c>
      <c r="C170" s="119" t="s">
        <v>82</v>
      </c>
      <c r="D170" s="119">
        <v>1</v>
      </c>
      <c r="E170" s="120" t="s">
        <v>875</v>
      </c>
      <c r="F170" s="20" t="s">
        <v>25</v>
      </c>
      <c r="G170" s="143">
        <v>55000</v>
      </c>
      <c r="H170" s="121" t="s">
        <v>663</v>
      </c>
      <c r="I170" s="162"/>
      <c r="J170" s="162"/>
      <c r="K170" s="162"/>
      <c r="L170" s="162"/>
      <c r="M170" s="162"/>
      <c r="N170" s="162"/>
      <c r="O170" s="122" t="s">
        <v>664</v>
      </c>
      <c r="P170" s="22"/>
      <c r="Q170" s="83">
        <f t="shared" si="2"/>
        <v>2021</v>
      </c>
      <c r="R170" s="106"/>
    </row>
    <row r="171" spans="1:18" ht="14.5" hidden="1" customHeight="1" x14ac:dyDescent="0.35">
      <c r="A171" s="118" t="s">
        <v>873</v>
      </c>
      <c r="B171" s="88" t="s">
        <v>874</v>
      </c>
      <c r="C171" s="119" t="s">
        <v>82</v>
      </c>
      <c r="D171" s="119">
        <v>0</v>
      </c>
      <c r="E171" s="120" t="s">
        <v>876</v>
      </c>
      <c r="F171" s="20" t="s">
        <v>25</v>
      </c>
      <c r="G171" s="143">
        <v>40000</v>
      </c>
      <c r="H171" s="121" t="s">
        <v>663</v>
      </c>
      <c r="I171" s="162"/>
      <c r="J171" s="162"/>
      <c r="K171" s="162"/>
      <c r="L171" s="162"/>
      <c r="M171" s="162"/>
      <c r="N171" s="162"/>
      <c r="O171" s="122" t="s">
        <v>664</v>
      </c>
      <c r="P171" s="22"/>
      <c r="Q171" s="83">
        <f t="shared" si="2"/>
        <v>2021</v>
      </c>
      <c r="R171" s="106"/>
    </row>
    <row r="172" spans="1:18" ht="14.5" hidden="1" x14ac:dyDescent="0.35">
      <c r="A172" s="118" t="s">
        <v>873</v>
      </c>
      <c r="B172" s="88" t="s">
        <v>874</v>
      </c>
      <c r="C172" s="119" t="s">
        <v>82</v>
      </c>
      <c r="D172" s="119">
        <v>0</v>
      </c>
      <c r="E172" s="120" t="s">
        <v>877</v>
      </c>
      <c r="F172" s="20" t="s">
        <v>25</v>
      </c>
      <c r="G172" s="143">
        <v>18500</v>
      </c>
      <c r="H172" s="121" t="s">
        <v>663</v>
      </c>
      <c r="I172" s="162"/>
      <c r="J172" s="162"/>
      <c r="K172" s="162"/>
      <c r="L172" s="162"/>
      <c r="M172" s="162"/>
      <c r="N172" s="162"/>
      <c r="O172" s="122" t="s">
        <v>664</v>
      </c>
      <c r="P172" s="22"/>
      <c r="Q172" s="83">
        <f t="shared" si="2"/>
        <v>2021</v>
      </c>
      <c r="R172" s="106"/>
    </row>
    <row r="173" spans="1:18" ht="14.5" hidden="1" customHeight="1" x14ac:dyDescent="0.35">
      <c r="A173" s="118" t="s">
        <v>873</v>
      </c>
      <c r="B173" s="88" t="s">
        <v>874</v>
      </c>
      <c r="C173" s="119" t="s">
        <v>82</v>
      </c>
      <c r="D173" s="119" t="s">
        <v>667</v>
      </c>
      <c r="E173" s="120" t="s">
        <v>875</v>
      </c>
      <c r="F173" s="20" t="s">
        <v>25</v>
      </c>
      <c r="G173" s="143">
        <v>44916.800000000003</v>
      </c>
      <c r="H173" s="119" t="s">
        <v>709</v>
      </c>
      <c r="I173" s="122" t="s">
        <v>27</v>
      </c>
      <c r="J173" s="122" t="s">
        <v>27</v>
      </c>
      <c r="K173" s="122" t="s">
        <v>27</v>
      </c>
      <c r="L173" s="122" t="s">
        <v>27</v>
      </c>
      <c r="M173" s="122" t="s">
        <v>27</v>
      </c>
      <c r="N173" s="122" t="s">
        <v>27</v>
      </c>
      <c r="O173" s="122" t="s">
        <v>709</v>
      </c>
      <c r="P173" s="22" t="s">
        <v>710</v>
      </c>
      <c r="Q173" s="83">
        <f t="shared" si="2"/>
        <v>2021</v>
      </c>
      <c r="R173" s="106"/>
    </row>
    <row r="174" spans="1:18" ht="14.5" hidden="1" customHeight="1" x14ac:dyDescent="0.35">
      <c r="A174" s="118" t="s">
        <v>873</v>
      </c>
      <c r="B174" s="88" t="s">
        <v>874</v>
      </c>
      <c r="C174" s="119" t="s">
        <v>82</v>
      </c>
      <c r="D174" s="119">
        <v>0</v>
      </c>
      <c r="E174" s="120" t="s">
        <v>876</v>
      </c>
      <c r="F174" s="20" t="s">
        <v>25</v>
      </c>
      <c r="G174" s="143">
        <v>32447.360000000001</v>
      </c>
      <c r="H174" s="119" t="s">
        <v>709</v>
      </c>
      <c r="I174" s="122" t="s">
        <v>27</v>
      </c>
      <c r="J174" s="122" t="s">
        <v>27</v>
      </c>
      <c r="K174" s="122" t="s">
        <v>27</v>
      </c>
      <c r="L174" s="122" t="s">
        <v>27</v>
      </c>
      <c r="M174" s="122" t="s">
        <v>27</v>
      </c>
      <c r="N174" s="122" t="s">
        <v>27</v>
      </c>
      <c r="O174" s="122" t="s">
        <v>709</v>
      </c>
      <c r="P174" s="22" t="s">
        <v>710</v>
      </c>
      <c r="Q174" s="83">
        <f t="shared" si="2"/>
        <v>2021</v>
      </c>
      <c r="R174" s="106"/>
    </row>
    <row r="175" spans="1:18" ht="14.5" hidden="1" customHeight="1" x14ac:dyDescent="0.35">
      <c r="A175" s="118" t="s">
        <v>878</v>
      </c>
      <c r="B175" s="88" t="s">
        <v>879</v>
      </c>
      <c r="C175" s="119" t="s">
        <v>23</v>
      </c>
      <c r="D175" s="119">
        <v>1</v>
      </c>
      <c r="E175" s="120" t="s">
        <v>880</v>
      </c>
      <c r="F175" s="6" t="s">
        <v>25</v>
      </c>
      <c r="G175" s="143">
        <v>13500</v>
      </c>
      <c r="H175" s="119" t="s">
        <v>709</v>
      </c>
      <c r="I175" s="122" t="s">
        <v>27</v>
      </c>
      <c r="J175" s="122" t="s">
        <v>27</v>
      </c>
      <c r="K175" s="122" t="s">
        <v>27</v>
      </c>
      <c r="L175" s="122" t="s">
        <v>27</v>
      </c>
      <c r="M175" s="122" t="s">
        <v>27</v>
      </c>
      <c r="N175" s="122" t="s">
        <v>27</v>
      </c>
      <c r="O175" s="122" t="s">
        <v>709</v>
      </c>
      <c r="P175" s="22" t="s">
        <v>710</v>
      </c>
      <c r="Q175" s="83">
        <f t="shared" si="2"/>
        <v>2021</v>
      </c>
      <c r="R175" s="106"/>
    </row>
    <row r="176" spans="1:18" ht="14.5" hidden="1" customHeight="1" x14ac:dyDescent="0.35">
      <c r="A176" s="118" t="s">
        <v>881</v>
      </c>
      <c r="B176" s="88" t="s">
        <v>882</v>
      </c>
      <c r="C176" s="119" t="s">
        <v>23</v>
      </c>
      <c r="D176" s="119">
        <v>1</v>
      </c>
      <c r="E176" s="120" t="s">
        <v>883</v>
      </c>
      <c r="F176" s="6" t="s">
        <v>25</v>
      </c>
      <c r="G176" s="143">
        <v>-37800</v>
      </c>
      <c r="H176" s="119" t="s">
        <v>709</v>
      </c>
      <c r="I176" s="122" t="s">
        <v>27</v>
      </c>
      <c r="J176" s="122" t="s">
        <v>27</v>
      </c>
      <c r="K176" s="122" t="s">
        <v>27</v>
      </c>
      <c r="L176" s="122" t="s">
        <v>27</v>
      </c>
      <c r="M176" s="122" t="s">
        <v>27</v>
      </c>
      <c r="N176" s="122" t="s">
        <v>27</v>
      </c>
      <c r="O176" s="122" t="s">
        <v>709</v>
      </c>
      <c r="P176" s="22" t="s">
        <v>710</v>
      </c>
      <c r="Q176" s="83">
        <f t="shared" si="2"/>
        <v>2021</v>
      </c>
      <c r="R176" s="106"/>
    </row>
    <row r="177" spans="1:18" ht="14.5" hidden="1" customHeight="1" x14ac:dyDescent="0.35">
      <c r="A177" s="118" t="s">
        <v>884</v>
      </c>
      <c r="B177" s="88" t="s">
        <v>885</v>
      </c>
      <c r="C177" s="119" t="s">
        <v>23</v>
      </c>
      <c r="D177" s="119">
        <v>1</v>
      </c>
      <c r="E177" s="120" t="s">
        <v>886</v>
      </c>
      <c r="F177" s="20" t="s">
        <v>25</v>
      </c>
      <c r="G177" s="143">
        <v>5950</v>
      </c>
      <c r="H177" s="119" t="s">
        <v>709</v>
      </c>
      <c r="I177" s="122" t="s">
        <v>27</v>
      </c>
      <c r="J177" s="122" t="s">
        <v>27</v>
      </c>
      <c r="K177" s="122" t="s">
        <v>27</v>
      </c>
      <c r="L177" s="122" t="s">
        <v>27</v>
      </c>
      <c r="M177" s="122" t="s">
        <v>27</v>
      </c>
      <c r="N177" s="122" t="s">
        <v>27</v>
      </c>
      <c r="O177" s="122" t="s">
        <v>709</v>
      </c>
      <c r="P177" s="22" t="s">
        <v>710</v>
      </c>
      <c r="Q177" s="83">
        <f t="shared" si="2"/>
        <v>2021</v>
      </c>
      <c r="R177" s="106"/>
    </row>
    <row r="178" spans="1:18" ht="14.5" hidden="1" customHeight="1" x14ac:dyDescent="0.35">
      <c r="A178" s="118" t="s">
        <v>884</v>
      </c>
      <c r="B178" s="88" t="s">
        <v>885</v>
      </c>
      <c r="C178" s="119" t="s">
        <v>23</v>
      </c>
      <c r="D178" s="119">
        <v>0</v>
      </c>
      <c r="E178" s="120" t="s">
        <v>887</v>
      </c>
      <c r="F178" s="20" t="s">
        <v>25</v>
      </c>
      <c r="G178" s="143">
        <v>700</v>
      </c>
      <c r="H178" s="119" t="s">
        <v>709</v>
      </c>
      <c r="I178" s="122" t="s">
        <v>27</v>
      </c>
      <c r="J178" s="122" t="s">
        <v>27</v>
      </c>
      <c r="K178" s="122" t="s">
        <v>27</v>
      </c>
      <c r="L178" s="122" t="s">
        <v>27</v>
      </c>
      <c r="M178" s="122" t="s">
        <v>27</v>
      </c>
      <c r="N178" s="122" t="s">
        <v>27</v>
      </c>
      <c r="O178" s="122" t="s">
        <v>709</v>
      </c>
      <c r="P178" s="22" t="s">
        <v>710</v>
      </c>
      <c r="Q178" s="83">
        <f t="shared" si="2"/>
        <v>2021</v>
      </c>
      <c r="R178" s="106"/>
    </row>
    <row r="179" spans="1:18" ht="14.5" hidden="1" customHeight="1" x14ac:dyDescent="0.35">
      <c r="A179" s="118" t="s">
        <v>884</v>
      </c>
      <c r="B179" s="88" t="s">
        <v>885</v>
      </c>
      <c r="C179" s="119" t="s">
        <v>23</v>
      </c>
      <c r="D179" s="119">
        <v>2</v>
      </c>
      <c r="E179" s="120" t="s">
        <v>716</v>
      </c>
      <c r="F179" s="20" t="s">
        <v>25</v>
      </c>
      <c r="G179" s="143">
        <v>15000</v>
      </c>
      <c r="H179" s="119" t="s">
        <v>709</v>
      </c>
      <c r="I179" s="122" t="s">
        <v>27</v>
      </c>
      <c r="J179" s="122" t="s">
        <v>27</v>
      </c>
      <c r="K179" s="122" t="s">
        <v>27</v>
      </c>
      <c r="L179" s="122" t="s">
        <v>27</v>
      </c>
      <c r="M179" s="122" t="s">
        <v>27</v>
      </c>
      <c r="N179" s="122" t="s">
        <v>27</v>
      </c>
      <c r="O179" s="122" t="s">
        <v>709</v>
      </c>
      <c r="P179" s="22" t="s">
        <v>710</v>
      </c>
      <c r="Q179" s="83">
        <f t="shared" si="2"/>
        <v>2021</v>
      </c>
      <c r="R179" s="106"/>
    </row>
    <row r="180" spans="1:18" ht="14.5" hidden="1" customHeight="1" x14ac:dyDescent="0.35">
      <c r="A180" s="123" t="s">
        <v>888</v>
      </c>
      <c r="B180" s="124" t="s">
        <v>889</v>
      </c>
      <c r="C180" s="121" t="s">
        <v>37</v>
      </c>
      <c r="D180" s="121">
        <v>1</v>
      </c>
      <c r="E180" s="120" t="s">
        <v>890</v>
      </c>
      <c r="F180" s="20" t="s">
        <v>25</v>
      </c>
      <c r="G180" s="143">
        <v>60000</v>
      </c>
      <c r="H180" s="121" t="s">
        <v>663</v>
      </c>
      <c r="I180" s="162"/>
      <c r="J180" s="162"/>
      <c r="K180" s="162"/>
      <c r="L180" s="162"/>
      <c r="M180" s="162"/>
      <c r="N180" s="162"/>
      <c r="O180" s="122" t="s">
        <v>664</v>
      </c>
      <c r="P180" s="22"/>
      <c r="Q180" s="83">
        <f t="shared" si="2"/>
        <v>2021</v>
      </c>
      <c r="R180" s="106"/>
    </row>
    <row r="181" spans="1:18" ht="14.5" hidden="1" customHeight="1" x14ac:dyDescent="0.35">
      <c r="A181" s="123" t="s">
        <v>888</v>
      </c>
      <c r="B181" s="124" t="s">
        <v>889</v>
      </c>
      <c r="C181" s="121" t="s">
        <v>37</v>
      </c>
      <c r="D181" s="119">
        <v>0</v>
      </c>
      <c r="E181" s="120" t="s">
        <v>891</v>
      </c>
      <c r="F181" s="20" t="s">
        <v>25</v>
      </c>
      <c r="G181" s="143">
        <v>26000</v>
      </c>
      <c r="H181" s="121" t="s">
        <v>663</v>
      </c>
      <c r="I181" s="162"/>
      <c r="J181" s="162"/>
      <c r="K181" s="162"/>
      <c r="L181" s="162"/>
      <c r="M181" s="162"/>
      <c r="N181" s="162"/>
      <c r="O181" s="122" t="s">
        <v>664</v>
      </c>
      <c r="P181" s="22"/>
      <c r="Q181" s="83">
        <f t="shared" si="2"/>
        <v>2021</v>
      </c>
      <c r="R181" s="106"/>
    </row>
    <row r="182" spans="1:18" ht="14.5" hidden="1" customHeight="1" x14ac:dyDescent="0.35">
      <c r="A182" s="123" t="s">
        <v>888</v>
      </c>
      <c r="B182" s="124" t="s">
        <v>889</v>
      </c>
      <c r="C182" s="121" t="s">
        <v>37</v>
      </c>
      <c r="D182" s="121" t="s">
        <v>892</v>
      </c>
      <c r="E182" s="120" t="s">
        <v>893</v>
      </c>
      <c r="F182" s="20" t="s">
        <v>25</v>
      </c>
      <c r="G182" s="143">
        <v>86000</v>
      </c>
      <c r="H182" s="121" t="s">
        <v>726</v>
      </c>
      <c r="I182" s="122" t="s">
        <v>27</v>
      </c>
      <c r="J182" s="122" t="s">
        <v>27</v>
      </c>
      <c r="K182" s="122" t="s">
        <v>27</v>
      </c>
      <c r="L182" s="122" t="s">
        <v>27</v>
      </c>
      <c r="M182" s="122" t="s">
        <v>27</v>
      </c>
      <c r="N182" s="122" t="s">
        <v>27</v>
      </c>
      <c r="O182" s="122" t="s">
        <v>745</v>
      </c>
      <c r="P182" s="22"/>
      <c r="Q182" s="83">
        <f t="shared" si="2"/>
        <v>2021</v>
      </c>
      <c r="R182" s="106"/>
    </row>
    <row r="183" spans="1:18" ht="14.5" hidden="1" customHeight="1" x14ac:dyDescent="0.35">
      <c r="A183" s="123" t="s">
        <v>888</v>
      </c>
      <c r="B183" s="124" t="s">
        <v>889</v>
      </c>
      <c r="C183" s="121" t="s">
        <v>37</v>
      </c>
      <c r="D183" s="121">
        <v>3</v>
      </c>
      <c r="E183" s="120" t="s">
        <v>894</v>
      </c>
      <c r="F183" s="20" t="s">
        <v>25</v>
      </c>
      <c r="G183" s="143">
        <v>688800</v>
      </c>
      <c r="H183" s="121" t="s">
        <v>726</v>
      </c>
      <c r="I183" s="122" t="s">
        <v>27</v>
      </c>
      <c r="J183" s="122" t="s">
        <v>27</v>
      </c>
      <c r="K183" s="122" t="s">
        <v>27</v>
      </c>
      <c r="L183" s="122" t="s">
        <v>27</v>
      </c>
      <c r="M183" s="122" t="s">
        <v>27</v>
      </c>
      <c r="N183" s="122" t="s">
        <v>27</v>
      </c>
      <c r="O183" s="122" t="s">
        <v>745</v>
      </c>
      <c r="P183" s="22"/>
      <c r="Q183" s="83">
        <f t="shared" si="2"/>
        <v>2021</v>
      </c>
      <c r="R183" s="106"/>
    </row>
    <row r="184" spans="1:18" ht="14.5" hidden="1" customHeight="1" x14ac:dyDescent="0.35">
      <c r="A184" s="123" t="s">
        <v>888</v>
      </c>
      <c r="B184" s="124" t="s">
        <v>889</v>
      </c>
      <c r="C184" s="121" t="s">
        <v>37</v>
      </c>
      <c r="D184" s="121" t="s">
        <v>755</v>
      </c>
      <c r="E184" s="120" t="s">
        <v>895</v>
      </c>
      <c r="F184" s="20" t="s">
        <v>25</v>
      </c>
      <c r="G184" s="143">
        <v>480000</v>
      </c>
      <c r="H184" s="121" t="s">
        <v>730</v>
      </c>
      <c r="I184" s="122" t="s">
        <v>27</v>
      </c>
      <c r="J184" s="122" t="s">
        <v>27</v>
      </c>
      <c r="K184" s="122" t="s">
        <v>27</v>
      </c>
      <c r="L184" s="122" t="s">
        <v>27</v>
      </c>
      <c r="M184" s="122" t="s">
        <v>27</v>
      </c>
      <c r="N184" s="122" t="s">
        <v>27</v>
      </c>
      <c r="O184" s="122" t="s">
        <v>745</v>
      </c>
      <c r="P184" s="116"/>
      <c r="Q184" s="83">
        <f t="shared" si="2"/>
        <v>2021</v>
      </c>
      <c r="R184" s="125"/>
    </row>
    <row r="185" spans="1:18" ht="14.5" hidden="1" customHeight="1" x14ac:dyDescent="0.35">
      <c r="A185" s="123" t="s">
        <v>888</v>
      </c>
      <c r="B185" s="124" t="s">
        <v>889</v>
      </c>
      <c r="C185" s="121" t="s">
        <v>37</v>
      </c>
      <c r="D185" s="121">
        <v>4</v>
      </c>
      <c r="E185" s="120" t="s">
        <v>896</v>
      </c>
      <c r="F185" s="20" t="s">
        <v>25</v>
      </c>
      <c r="G185" s="143">
        <v>344400</v>
      </c>
      <c r="H185" s="121" t="s">
        <v>726</v>
      </c>
      <c r="I185" s="122" t="s">
        <v>27</v>
      </c>
      <c r="J185" s="122" t="s">
        <v>27</v>
      </c>
      <c r="K185" s="122" t="s">
        <v>27</v>
      </c>
      <c r="L185" s="122" t="s">
        <v>27</v>
      </c>
      <c r="M185" s="122" t="s">
        <v>27</v>
      </c>
      <c r="N185" s="122" t="s">
        <v>27</v>
      </c>
      <c r="O185" s="122" t="s">
        <v>745</v>
      </c>
      <c r="P185" s="22"/>
      <c r="Q185" s="83">
        <f t="shared" si="2"/>
        <v>2021</v>
      </c>
      <c r="R185" s="106"/>
    </row>
    <row r="186" spans="1:18" ht="14.5" hidden="1" customHeight="1" x14ac:dyDescent="0.35">
      <c r="A186" s="118" t="s">
        <v>897</v>
      </c>
      <c r="B186" s="88" t="s">
        <v>421</v>
      </c>
      <c r="C186" s="119" t="s">
        <v>23</v>
      </c>
      <c r="D186" s="119" t="s">
        <v>667</v>
      </c>
      <c r="E186" s="120" t="s">
        <v>753</v>
      </c>
      <c r="F186" s="20" t="s">
        <v>25</v>
      </c>
      <c r="G186" s="143">
        <v>72000</v>
      </c>
      <c r="H186" s="119" t="s">
        <v>709</v>
      </c>
      <c r="I186" s="122" t="s">
        <v>27</v>
      </c>
      <c r="J186" s="122" t="s">
        <v>27</v>
      </c>
      <c r="K186" s="122" t="s">
        <v>27</v>
      </c>
      <c r="L186" s="122" t="s">
        <v>27</v>
      </c>
      <c r="M186" s="122" t="s">
        <v>27</v>
      </c>
      <c r="N186" s="122" t="s">
        <v>27</v>
      </c>
      <c r="O186" s="122" t="s">
        <v>745</v>
      </c>
      <c r="P186" s="22" t="s">
        <v>898</v>
      </c>
      <c r="Q186" s="83">
        <f t="shared" si="2"/>
        <v>2021</v>
      </c>
      <c r="R186" s="106"/>
    </row>
    <row r="187" spans="1:18" ht="14.5" hidden="1" customHeight="1" x14ac:dyDescent="0.35">
      <c r="A187" s="123" t="s">
        <v>899</v>
      </c>
      <c r="B187" s="124" t="s">
        <v>900</v>
      </c>
      <c r="C187" s="121" t="s">
        <v>48</v>
      </c>
      <c r="D187" s="121">
        <v>1</v>
      </c>
      <c r="E187" s="120" t="s">
        <v>901</v>
      </c>
      <c r="F187" s="6" t="s">
        <v>25</v>
      </c>
      <c r="G187" s="143">
        <v>150875</v>
      </c>
      <c r="H187" s="121" t="s">
        <v>663</v>
      </c>
      <c r="I187" s="162"/>
      <c r="J187" s="162"/>
      <c r="K187" s="162"/>
      <c r="L187" s="162"/>
      <c r="M187" s="162"/>
      <c r="N187" s="162"/>
      <c r="O187" s="122" t="s">
        <v>664</v>
      </c>
      <c r="P187" s="22"/>
      <c r="Q187" s="83">
        <f t="shared" si="2"/>
        <v>2021</v>
      </c>
      <c r="R187" s="106"/>
    </row>
    <row r="188" spans="1:18" ht="14.5" hidden="1" customHeight="1" x14ac:dyDescent="0.35">
      <c r="A188" s="123" t="s">
        <v>899</v>
      </c>
      <c r="B188" s="124" t="s">
        <v>902</v>
      </c>
      <c r="C188" s="121" t="s">
        <v>48</v>
      </c>
      <c r="D188" s="121">
        <v>2</v>
      </c>
      <c r="E188" s="120" t="s">
        <v>903</v>
      </c>
      <c r="F188" s="6" t="s">
        <v>25</v>
      </c>
      <c r="G188" s="143">
        <v>120000</v>
      </c>
      <c r="H188" s="121" t="s">
        <v>730</v>
      </c>
      <c r="I188" s="122" t="s">
        <v>27</v>
      </c>
      <c r="J188" s="122" t="s">
        <v>27</v>
      </c>
      <c r="K188" s="122" t="s">
        <v>27</v>
      </c>
      <c r="L188" s="122" t="s">
        <v>27</v>
      </c>
      <c r="M188" s="122" t="s">
        <v>27</v>
      </c>
      <c r="N188" s="122" t="s">
        <v>27</v>
      </c>
      <c r="O188" s="122" t="s">
        <v>745</v>
      </c>
      <c r="P188" s="75"/>
      <c r="Q188" s="83">
        <f t="shared" si="2"/>
        <v>2021</v>
      </c>
      <c r="R188" s="106"/>
    </row>
    <row r="189" spans="1:18" ht="14.5" hidden="1" customHeight="1" x14ac:dyDescent="0.35">
      <c r="A189" s="123" t="s">
        <v>899</v>
      </c>
      <c r="B189" s="124" t="s">
        <v>902</v>
      </c>
      <c r="C189" s="121" t="s">
        <v>48</v>
      </c>
      <c r="D189" s="121" t="s">
        <v>667</v>
      </c>
      <c r="E189" s="120" t="s">
        <v>904</v>
      </c>
      <c r="F189" s="6" t="s">
        <v>25</v>
      </c>
      <c r="G189" s="143">
        <v>188528</v>
      </c>
      <c r="H189" s="121" t="s">
        <v>730</v>
      </c>
      <c r="I189" s="122" t="s">
        <v>27</v>
      </c>
      <c r="J189" s="122" t="s">
        <v>27</v>
      </c>
      <c r="K189" s="122" t="s">
        <v>27</v>
      </c>
      <c r="L189" s="122" t="s">
        <v>27</v>
      </c>
      <c r="M189" s="122" t="s">
        <v>27</v>
      </c>
      <c r="N189" s="122" t="s">
        <v>27</v>
      </c>
      <c r="O189" s="122" t="s">
        <v>745</v>
      </c>
      <c r="P189" s="75"/>
      <c r="Q189" s="83">
        <f t="shared" si="2"/>
        <v>2021</v>
      </c>
      <c r="R189" s="106"/>
    </row>
    <row r="190" spans="1:18" ht="14.5" hidden="1" customHeight="1" x14ac:dyDescent="0.35">
      <c r="A190" s="123" t="s">
        <v>899</v>
      </c>
      <c r="B190" s="124" t="s">
        <v>902</v>
      </c>
      <c r="C190" s="121" t="s">
        <v>48</v>
      </c>
      <c r="D190" s="121">
        <v>5</v>
      </c>
      <c r="E190" s="120" t="s">
        <v>905</v>
      </c>
      <c r="F190" s="6" t="s">
        <v>25</v>
      </c>
      <c r="G190" s="143">
        <v>1494879</v>
      </c>
      <c r="H190" s="121" t="s">
        <v>663</v>
      </c>
      <c r="I190" s="162"/>
      <c r="J190" s="162"/>
      <c r="K190" s="162"/>
      <c r="L190" s="162"/>
      <c r="M190" s="162"/>
      <c r="N190" s="162"/>
      <c r="O190" s="122" t="s">
        <v>664</v>
      </c>
      <c r="P190" s="22"/>
      <c r="Q190" s="83">
        <f t="shared" si="2"/>
        <v>2021</v>
      </c>
      <c r="R190" s="106"/>
    </row>
    <row r="191" spans="1:18" ht="14.5" hidden="1" customHeight="1" x14ac:dyDescent="0.35">
      <c r="A191" s="123" t="s">
        <v>899</v>
      </c>
      <c r="B191" s="124" t="s">
        <v>902</v>
      </c>
      <c r="C191" s="121" t="s">
        <v>48</v>
      </c>
      <c r="D191" s="121" t="s">
        <v>732</v>
      </c>
      <c r="E191" s="120" t="s">
        <v>906</v>
      </c>
      <c r="F191" s="6" t="s">
        <v>25</v>
      </c>
      <c r="G191" s="143">
        <v>1572972</v>
      </c>
      <c r="H191" s="121" t="s">
        <v>730</v>
      </c>
      <c r="I191" s="122" t="s">
        <v>27</v>
      </c>
      <c r="J191" s="122" t="s">
        <v>27</v>
      </c>
      <c r="K191" s="122" t="s">
        <v>27</v>
      </c>
      <c r="L191" s="122" t="s">
        <v>27</v>
      </c>
      <c r="M191" s="122" t="s">
        <v>27</v>
      </c>
      <c r="N191" s="122" t="s">
        <v>27</v>
      </c>
      <c r="O191" s="122" t="s">
        <v>745</v>
      </c>
      <c r="P191" s="75"/>
      <c r="Q191" s="83">
        <f t="shared" si="2"/>
        <v>2021</v>
      </c>
      <c r="R191" s="106"/>
    </row>
    <row r="192" spans="1:18" ht="14.5" hidden="1" customHeight="1" x14ac:dyDescent="0.35">
      <c r="A192" s="123" t="s">
        <v>899</v>
      </c>
      <c r="B192" s="124" t="s">
        <v>902</v>
      </c>
      <c r="C192" s="121" t="s">
        <v>48</v>
      </c>
      <c r="D192" s="121">
        <v>3</v>
      </c>
      <c r="E192" s="120" t="s">
        <v>907</v>
      </c>
      <c r="F192" s="6" t="s">
        <v>25</v>
      </c>
      <c r="G192" s="143">
        <v>342716</v>
      </c>
      <c r="H192" s="121" t="s">
        <v>730</v>
      </c>
      <c r="I192" s="122" t="s">
        <v>27</v>
      </c>
      <c r="J192" s="122" t="s">
        <v>27</v>
      </c>
      <c r="K192" s="122" t="s">
        <v>27</v>
      </c>
      <c r="L192" s="122" t="s">
        <v>27</v>
      </c>
      <c r="M192" s="122" t="s">
        <v>27</v>
      </c>
      <c r="N192" s="122" t="s">
        <v>27</v>
      </c>
      <c r="O192" s="122" t="s">
        <v>745</v>
      </c>
      <c r="P192" s="75"/>
      <c r="Q192" s="83">
        <f t="shared" si="2"/>
        <v>2021</v>
      </c>
      <c r="R192" s="106"/>
    </row>
    <row r="193" spans="1:18" ht="14.5" hidden="1" customHeight="1" x14ac:dyDescent="0.35">
      <c r="A193" s="123" t="s">
        <v>899</v>
      </c>
      <c r="B193" s="124" t="s">
        <v>902</v>
      </c>
      <c r="C193" s="121" t="s">
        <v>48</v>
      </c>
      <c r="D193" s="121">
        <v>8</v>
      </c>
      <c r="E193" s="120" t="s">
        <v>908</v>
      </c>
      <c r="F193" s="6" t="s">
        <v>25</v>
      </c>
      <c r="G193" s="143">
        <v>762233</v>
      </c>
      <c r="H193" s="121" t="s">
        <v>730</v>
      </c>
      <c r="I193" s="122" t="s">
        <v>27</v>
      </c>
      <c r="J193" s="122" t="s">
        <v>27</v>
      </c>
      <c r="K193" s="122" t="s">
        <v>27</v>
      </c>
      <c r="L193" s="122" t="s">
        <v>27</v>
      </c>
      <c r="M193" s="122" t="s">
        <v>27</v>
      </c>
      <c r="N193" s="122" t="s">
        <v>27</v>
      </c>
      <c r="O193" s="122" t="s">
        <v>745</v>
      </c>
      <c r="P193" s="75"/>
      <c r="Q193" s="83">
        <f t="shared" si="2"/>
        <v>2021</v>
      </c>
      <c r="R193" s="106"/>
    </row>
    <row r="194" spans="1:18" ht="14.5" hidden="1" customHeight="1" x14ac:dyDescent="0.35">
      <c r="A194" s="123" t="s">
        <v>899</v>
      </c>
      <c r="B194" s="124" t="s">
        <v>909</v>
      </c>
      <c r="C194" s="121" t="s">
        <v>48</v>
      </c>
      <c r="D194" s="119">
        <v>0</v>
      </c>
      <c r="E194" s="120" t="s">
        <v>910</v>
      </c>
      <c r="F194" s="6" t="s">
        <v>25</v>
      </c>
      <c r="G194" s="143">
        <v>820800</v>
      </c>
      <c r="H194" s="121" t="s">
        <v>730</v>
      </c>
      <c r="I194" s="122" t="s">
        <v>27</v>
      </c>
      <c r="J194" s="122" t="s">
        <v>27</v>
      </c>
      <c r="K194" s="122" t="s">
        <v>27</v>
      </c>
      <c r="L194" s="122" t="s">
        <v>27</v>
      </c>
      <c r="M194" s="122" t="s">
        <v>27</v>
      </c>
      <c r="N194" s="122" t="s">
        <v>27</v>
      </c>
      <c r="O194" s="122" t="s">
        <v>745</v>
      </c>
      <c r="P194" s="75"/>
      <c r="Q194" s="83">
        <f t="shared" si="2"/>
        <v>2021</v>
      </c>
      <c r="R194" s="106"/>
    </row>
    <row r="195" spans="1:18" ht="14.5" hidden="1" customHeight="1" x14ac:dyDescent="0.35">
      <c r="A195" s="123" t="s">
        <v>899</v>
      </c>
      <c r="B195" s="124" t="s">
        <v>909</v>
      </c>
      <c r="C195" s="121" t="s">
        <v>48</v>
      </c>
      <c r="D195" s="121">
        <v>7</v>
      </c>
      <c r="E195" s="120" t="s">
        <v>911</v>
      </c>
      <c r="F195" s="6" t="s">
        <v>25</v>
      </c>
      <c r="G195" s="143">
        <v>250070</v>
      </c>
      <c r="H195" s="121" t="s">
        <v>730</v>
      </c>
      <c r="I195" s="122" t="s">
        <v>27</v>
      </c>
      <c r="J195" s="122" t="s">
        <v>27</v>
      </c>
      <c r="K195" s="122" t="s">
        <v>27</v>
      </c>
      <c r="L195" s="122" t="s">
        <v>27</v>
      </c>
      <c r="M195" s="122" t="s">
        <v>27</v>
      </c>
      <c r="N195" s="122" t="s">
        <v>27</v>
      </c>
      <c r="O195" s="122" t="s">
        <v>745</v>
      </c>
      <c r="P195" s="75"/>
      <c r="Q195" s="83">
        <f t="shared" ref="Q195:Q258" si="3">IFERROR(2000+VALUE(LEFT(A195,2)),"")</f>
        <v>2021</v>
      </c>
      <c r="R195" s="106"/>
    </row>
    <row r="196" spans="1:18" ht="14.5" hidden="1" customHeight="1" x14ac:dyDescent="0.35">
      <c r="A196" s="123" t="s">
        <v>899</v>
      </c>
      <c r="B196" s="124" t="s">
        <v>909</v>
      </c>
      <c r="C196" s="121" t="s">
        <v>48</v>
      </c>
      <c r="D196" s="119">
        <v>0</v>
      </c>
      <c r="E196" s="120" t="s">
        <v>912</v>
      </c>
      <c r="F196" s="6" t="s">
        <v>25</v>
      </c>
      <c r="G196" s="143">
        <v>45000</v>
      </c>
      <c r="H196" s="121" t="s">
        <v>730</v>
      </c>
      <c r="I196" s="122" t="s">
        <v>27</v>
      </c>
      <c r="J196" s="122" t="s">
        <v>27</v>
      </c>
      <c r="K196" s="122" t="s">
        <v>27</v>
      </c>
      <c r="L196" s="122" t="s">
        <v>27</v>
      </c>
      <c r="M196" s="122" t="s">
        <v>27</v>
      </c>
      <c r="N196" s="122" t="s">
        <v>27</v>
      </c>
      <c r="O196" s="122" t="s">
        <v>745</v>
      </c>
      <c r="P196" s="75"/>
      <c r="Q196" s="83">
        <f t="shared" si="3"/>
        <v>2021</v>
      </c>
      <c r="R196" s="106"/>
    </row>
    <row r="197" spans="1:18" ht="14.5" hidden="1" customHeight="1" x14ac:dyDescent="0.35">
      <c r="A197" s="123" t="s">
        <v>899</v>
      </c>
      <c r="B197" s="124" t="s">
        <v>909</v>
      </c>
      <c r="C197" s="121" t="s">
        <v>48</v>
      </c>
      <c r="D197" s="121" t="s">
        <v>735</v>
      </c>
      <c r="E197" s="120" t="s">
        <v>913</v>
      </c>
      <c r="F197" s="6" t="s">
        <v>25</v>
      </c>
      <c r="G197" s="143">
        <v>87316</v>
      </c>
      <c r="H197" s="121" t="s">
        <v>730</v>
      </c>
      <c r="I197" s="122" t="s">
        <v>27</v>
      </c>
      <c r="J197" s="122" t="s">
        <v>27</v>
      </c>
      <c r="K197" s="122" t="s">
        <v>27</v>
      </c>
      <c r="L197" s="122" t="s">
        <v>27</v>
      </c>
      <c r="M197" s="122" t="s">
        <v>27</v>
      </c>
      <c r="N197" s="122" t="s">
        <v>27</v>
      </c>
      <c r="O197" s="122" t="s">
        <v>745</v>
      </c>
      <c r="P197" s="75"/>
      <c r="Q197" s="83">
        <f t="shared" si="3"/>
        <v>2021</v>
      </c>
      <c r="R197" s="106"/>
    </row>
    <row r="198" spans="1:18" ht="14.5" hidden="1" customHeight="1" x14ac:dyDescent="0.35">
      <c r="A198" s="123" t="s">
        <v>899</v>
      </c>
      <c r="B198" s="124" t="s">
        <v>909</v>
      </c>
      <c r="C198" s="121" t="s">
        <v>48</v>
      </c>
      <c r="D198" s="119">
        <v>0</v>
      </c>
      <c r="E198" s="120" t="s">
        <v>914</v>
      </c>
      <c r="F198" s="6" t="s">
        <v>25</v>
      </c>
      <c r="G198" s="143">
        <v>273059</v>
      </c>
      <c r="H198" s="121" t="s">
        <v>730</v>
      </c>
      <c r="I198" s="122" t="s">
        <v>27</v>
      </c>
      <c r="J198" s="122" t="s">
        <v>27</v>
      </c>
      <c r="K198" s="122" t="s">
        <v>27</v>
      </c>
      <c r="L198" s="122" t="s">
        <v>27</v>
      </c>
      <c r="M198" s="122" t="s">
        <v>27</v>
      </c>
      <c r="N198" s="122" t="s">
        <v>27</v>
      </c>
      <c r="O198" s="122" t="s">
        <v>745</v>
      </c>
      <c r="P198" s="75"/>
      <c r="Q198" s="83">
        <f t="shared" si="3"/>
        <v>2021</v>
      </c>
      <c r="R198" s="106"/>
    </row>
    <row r="199" spans="1:18" ht="14.5" hidden="1" customHeight="1" x14ac:dyDescent="0.35">
      <c r="A199" s="123" t="s">
        <v>899</v>
      </c>
      <c r="B199" s="124" t="s">
        <v>909</v>
      </c>
      <c r="C199" s="121" t="s">
        <v>48</v>
      </c>
      <c r="D199" s="121">
        <v>9</v>
      </c>
      <c r="E199" s="120" t="s">
        <v>915</v>
      </c>
      <c r="F199" s="6" t="s">
        <v>25</v>
      </c>
      <c r="G199" s="143">
        <v>1047375</v>
      </c>
      <c r="H199" s="121" t="s">
        <v>730</v>
      </c>
      <c r="I199" s="122" t="s">
        <v>27</v>
      </c>
      <c r="J199" s="122" t="s">
        <v>27</v>
      </c>
      <c r="K199" s="122" t="s">
        <v>27</v>
      </c>
      <c r="L199" s="122" t="s">
        <v>27</v>
      </c>
      <c r="M199" s="122" t="s">
        <v>27</v>
      </c>
      <c r="N199" s="122" t="s">
        <v>27</v>
      </c>
      <c r="O199" s="122" t="s">
        <v>745</v>
      </c>
      <c r="P199" s="75"/>
      <c r="Q199" s="83">
        <f t="shared" si="3"/>
        <v>2021</v>
      </c>
      <c r="R199" s="106"/>
    </row>
    <row r="200" spans="1:18" ht="14.5" hidden="1" customHeight="1" x14ac:dyDescent="0.35">
      <c r="A200" s="123" t="s">
        <v>899</v>
      </c>
      <c r="B200" s="124" t="s">
        <v>909</v>
      </c>
      <c r="C200" s="121" t="s">
        <v>48</v>
      </c>
      <c r="D200" s="119">
        <v>0</v>
      </c>
      <c r="E200" s="120" t="s">
        <v>916</v>
      </c>
      <c r="F200" s="6" t="s">
        <v>25</v>
      </c>
      <c r="G200" s="143">
        <v>264000</v>
      </c>
      <c r="H200" s="121" t="s">
        <v>730</v>
      </c>
      <c r="I200" s="122" t="s">
        <v>27</v>
      </c>
      <c r="J200" s="122" t="s">
        <v>27</v>
      </c>
      <c r="K200" s="122" t="s">
        <v>27</v>
      </c>
      <c r="L200" s="122" t="s">
        <v>27</v>
      </c>
      <c r="M200" s="122" t="s">
        <v>27</v>
      </c>
      <c r="N200" s="122" t="s">
        <v>27</v>
      </c>
      <c r="O200" s="122" t="s">
        <v>745</v>
      </c>
      <c r="P200" s="75"/>
      <c r="Q200" s="83">
        <f t="shared" si="3"/>
        <v>2021</v>
      </c>
      <c r="R200" s="106"/>
    </row>
    <row r="201" spans="1:18" ht="14.5" hidden="1" customHeight="1" x14ac:dyDescent="0.35">
      <c r="A201" s="123" t="s">
        <v>899</v>
      </c>
      <c r="B201" s="124" t="s">
        <v>909</v>
      </c>
      <c r="C201" s="121" t="s">
        <v>48</v>
      </c>
      <c r="D201" s="121" t="s">
        <v>917</v>
      </c>
      <c r="E201" s="120" t="s">
        <v>915</v>
      </c>
      <c r="F201" s="6" t="s">
        <v>25</v>
      </c>
      <c r="G201" s="143">
        <v>718200</v>
      </c>
      <c r="H201" s="121" t="s">
        <v>663</v>
      </c>
      <c r="I201" s="162"/>
      <c r="J201" s="162"/>
      <c r="K201" s="162"/>
      <c r="L201" s="162"/>
      <c r="M201" s="162"/>
      <c r="N201" s="162"/>
      <c r="O201" s="122" t="s">
        <v>664</v>
      </c>
      <c r="P201" s="22"/>
      <c r="Q201" s="83">
        <f t="shared" si="3"/>
        <v>2021</v>
      </c>
      <c r="R201" s="106"/>
    </row>
    <row r="202" spans="1:18" ht="14.5" hidden="1" customHeight="1" x14ac:dyDescent="0.35">
      <c r="A202" s="123" t="s">
        <v>899</v>
      </c>
      <c r="B202" s="124" t="s">
        <v>909</v>
      </c>
      <c r="C202" s="121" t="s">
        <v>48</v>
      </c>
      <c r="D202" s="119">
        <v>0</v>
      </c>
      <c r="E202" s="120" t="s">
        <v>916</v>
      </c>
      <c r="F202" s="6" t="s">
        <v>25</v>
      </c>
      <c r="G202" s="143">
        <v>240000</v>
      </c>
      <c r="H202" s="121" t="s">
        <v>663</v>
      </c>
      <c r="I202" s="162"/>
      <c r="J202" s="162"/>
      <c r="K202" s="162"/>
      <c r="L202" s="162"/>
      <c r="M202" s="162"/>
      <c r="N202" s="162"/>
      <c r="O202" s="122" t="s">
        <v>664</v>
      </c>
      <c r="P202" s="22"/>
      <c r="Q202" s="83">
        <f t="shared" si="3"/>
        <v>2021</v>
      </c>
      <c r="R202" s="106"/>
    </row>
    <row r="203" spans="1:18" ht="14.5" hidden="1" customHeight="1" x14ac:dyDescent="0.35">
      <c r="A203" s="123" t="s">
        <v>899</v>
      </c>
      <c r="B203" s="124" t="s">
        <v>909</v>
      </c>
      <c r="C203" s="121" t="s">
        <v>48</v>
      </c>
      <c r="D203" s="121">
        <v>12</v>
      </c>
      <c r="E203" s="120" t="s">
        <v>918</v>
      </c>
      <c r="F203" s="6" t="s">
        <v>25</v>
      </c>
      <c r="G203" s="143">
        <v>3157500</v>
      </c>
      <c r="H203" s="121" t="s">
        <v>730</v>
      </c>
      <c r="I203" s="122" t="s">
        <v>27</v>
      </c>
      <c r="J203" s="122" t="s">
        <v>27</v>
      </c>
      <c r="K203" s="122" t="s">
        <v>27</v>
      </c>
      <c r="L203" s="122" t="s">
        <v>27</v>
      </c>
      <c r="M203" s="122" t="s">
        <v>27</v>
      </c>
      <c r="N203" s="122" t="s">
        <v>27</v>
      </c>
      <c r="O203" s="122" t="s">
        <v>745</v>
      </c>
      <c r="P203" s="75"/>
      <c r="Q203" s="83">
        <f t="shared" si="3"/>
        <v>2021</v>
      </c>
      <c r="R203" s="106"/>
    </row>
    <row r="204" spans="1:18" ht="14.5" hidden="1" customHeight="1" x14ac:dyDescent="0.35">
      <c r="A204" s="123" t="s">
        <v>899</v>
      </c>
      <c r="B204" s="124" t="s">
        <v>909</v>
      </c>
      <c r="C204" s="121" t="s">
        <v>48</v>
      </c>
      <c r="D204" s="121" t="s">
        <v>919</v>
      </c>
      <c r="E204" s="120" t="s">
        <v>915</v>
      </c>
      <c r="F204" s="6" t="s">
        <v>25</v>
      </c>
      <c r="G204" s="143">
        <v>718200</v>
      </c>
      <c r="H204" s="121" t="s">
        <v>730</v>
      </c>
      <c r="I204" s="122" t="s">
        <v>27</v>
      </c>
      <c r="J204" s="122" t="s">
        <v>27</v>
      </c>
      <c r="K204" s="122" t="s">
        <v>27</v>
      </c>
      <c r="L204" s="122" t="s">
        <v>27</v>
      </c>
      <c r="M204" s="122" t="s">
        <v>27</v>
      </c>
      <c r="N204" s="122" t="s">
        <v>27</v>
      </c>
      <c r="O204" s="122" t="s">
        <v>745</v>
      </c>
      <c r="P204" s="75"/>
      <c r="Q204" s="83">
        <f t="shared" si="3"/>
        <v>2021</v>
      </c>
      <c r="R204" s="106"/>
    </row>
    <row r="205" spans="1:18" ht="14.5" hidden="1" customHeight="1" x14ac:dyDescent="0.35">
      <c r="A205" s="123" t="s">
        <v>899</v>
      </c>
      <c r="B205" s="124" t="s">
        <v>909</v>
      </c>
      <c r="C205" s="121" t="s">
        <v>48</v>
      </c>
      <c r="D205" s="119">
        <v>0</v>
      </c>
      <c r="E205" s="120" t="s">
        <v>916</v>
      </c>
      <c r="F205" s="6" t="s">
        <v>25</v>
      </c>
      <c r="G205" s="143">
        <v>120000</v>
      </c>
      <c r="H205" s="121" t="s">
        <v>730</v>
      </c>
      <c r="I205" s="122" t="s">
        <v>27</v>
      </c>
      <c r="J205" s="122" t="s">
        <v>27</v>
      </c>
      <c r="K205" s="122" t="s">
        <v>27</v>
      </c>
      <c r="L205" s="122" t="s">
        <v>27</v>
      </c>
      <c r="M205" s="122" t="s">
        <v>27</v>
      </c>
      <c r="N205" s="122" t="s">
        <v>27</v>
      </c>
      <c r="O205" s="122" t="s">
        <v>745</v>
      </c>
      <c r="P205" s="75"/>
      <c r="Q205" s="83">
        <f t="shared" si="3"/>
        <v>2021</v>
      </c>
      <c r="R205" s="106"/>
    </row>
    <row r="206" spans="1:18" ht="14.5" hidden="1" x14ac:dyDescent="0.35">
      <c r="A206" s="123" t="s">
        <v>899</v>
      </c>
      <c r="B206" s="124" t="s">
        <v>909</v>
      </c>
      <c r="C206" s="121" t="s">
        <v>48</v>
      </c>
      <c r="D206" s="121" t="s">
        <v>688</v>
      </c>
      <c r="E206" s="120" t="s">
        <v>911</v>
      </c>
      <c r="F206" s="6" t="s">
        <v>25</v>
      </c>
      <c r="G206" s="143">
        <v>998023</v>
      </c>
      <c r="H206" s="121" t="s">
        <v>730</v>
      </c>
      <c r="I206" s="122" t="s">
        <v>27</v>
      </c>
      <c r="J206" s="122" t="s">
        <v>27</v>
      </c>
      <c r="K206" s="122" t="s">
        <v>27</v>
      </c>
      <c r="L206" s="122" t="s">
        <v>27</v>
      </c>
      <c r="M206" s="122" t="s">
        <v>27</v>
      </c>
      <c r="N206" s="122" t="s">
        <v>27</v>
      </c>
      <c r="O206" s="122" t="s">
        <v>745</v>
      </c>
      <c r="P206" s="75"/>
      <c r="Q206" s="83">
        <f t="shared" si="3"/>
        <v>2021</v>
      </c>
      <c r="R206" s="106"/>
    </row>
    <row r="207" spans="1:18" ht="14.5" hidden="1" x14ac:dyDescent="0.35">
      <c r="A207" s="123" t="s">
        <v>899</v>
      </c>
      <c r="B207" s="124" t="s">
        <v>909</v>
      </c>
      <c r="C207" s="121" t="s">
        <v>48</v>
      </c>
      <c r="D207" s="121" t="s">
        <v>699</v>
      </c>
      <c r="E207" s="120" t="s">
        <v>920</v>
      </c>
      <c r="F207" s="6" t="s">
        <v>25</v>
      </c>
      <c r="G207" s="143">
        <v>55805</v>
      </c>
      <c r="H207" s="121" t="s">
        <v>730</v>
      </c>
      <c r="I207" s="122" t="s">
        <v>27</v>
      </c>
      <c r="J207" s="122" t="s">
        <v>27</v>
      </c>
      <c r="K207" s="122" t="s">
        <v>27</v>
      </c>
      <c r="L207" s="122" t="s">
        <v>27</v>
      </c>
      <c r="M207" s="122" t="s">
        <v>27</v>
      </c>
      <c r="N207" s="122" t="s">
        <v>27</v>
      </c>
      <c r="O207" s="122" t="s">
        <v>745</v>
      </c>
      <c r="P207" s="75"/>
      <c r="Q207" s="83">
        <f t="shared" si="3"/>
        <v>2021</v>
      </c>
      <c r="R207" s="106"/>
    </row>
    <row r="208" spans="1:18" ht="14.5" hidden="1" customHeight="1" x14ac:dyDescent="0.35">
      <c r="A208" s="123" t="s">
        <v>899</v>
      </c>
      <c r="B208" s="124" t="s">
        <v>909</v>
      </c>
      <c r="C208" s="121" t="s">
        <v>48</v>
      </c>
      <c r="D208" s="121" t="s">
        <v>735</v>
      </c>
      <c r="E208" s="120" t="s">
        <v>921</v>
      </c>
      <c r="F208" s="6" t="s">
        <v>25</v>
      </c>
      <c r="G208" s="143">
        <v>199739</v>
      </c>
      <c r="H208" s="121" t="s">
        <v>730</v>
      </c>
      <c r="I208" s="122" t="s">
        <v>27</v>
      </c>
      <c r="J208" s="122" t="s">
        <v>27</v>
      </c>
      <c r="K208" s="122" t="s">
        <v>27</v>
      </c>
      <c r="L208" s="122" t="s">
        <v>27</v>
      </c>
      <c r="M208" s="122" t="s">
        <v>27</v>
      </c>
      <c r="N208" s="122" t="s">
        <v>27</v>
      </c>
      <c r="O208" s="122" t="s">
        <v>745</v>
      </c>
      <c r="P208" s="75"/>
      <c r="Q208" s="83">
        <f t="shared" si="3"/>
        <v>2021</v>
      </c>
      <c r="R208" s="106"/>
    </row>
    <row r="209" spans="1:18" ht="14.5" hidden="1" customHeight="1" x14ac:dyDescent="0.35">
      <c r="A209" s="123" t="s">
        <v>899</v>
      </c>
      <c r="B209" s="124" t="s">
        <v>909</v>
      </c>
      <c r="C209" s="121" t="s">
        <v>48</v>
      </c>
      <c r="D209" s="121" t="s">
        <v>697</v>
      </c>
      <c r="E209" s="120" t="s">
        <v>922</v>
      </c>
      <c r="F209" s="6" t="s">
        <v>25</v>
      </c>
      <c r="G209" s="143">
        <v>46305</v>
      </c>
      <c r="H209" s="121" t="s">
        <v>730</v>
      </c>
      <c r="I209" s="122" t="s">
        <v>27</v>
      </c>
      <c r="J209" s="122" t="s">
        <v>27</v>
      </c>
      <c r="K209" s="122" t="s">
        <v>27</v>
      </c>
      <c r="L209" s="122" t="s">
        <v>27</v>
      </c>
      <c r="M209" s="122" t="s">
        <v>27</v>
      </c>
      <c r="N209" s="122" t="s">
        <v>27</v>
      </c>
      <c r="O209" s="122" t="s">
        <v>745</v>
      </c>
      <c r="P209" s="75"/>
      <c r="Q209" s="83">
        <f t="shared" si="3"/>
        <v>2021</v>
      </c>
      <c r="R209" s="106"/>
    </row>
    <row r="210" spans="1:18" ht="14.5" hidden="1" customHeight="1" x14ac:dyDescent="0.35">
      <c r="A210" s="123" t="s">
        <v>923</v>
      </c>
      <c r="B210" s="124" t="s">
        <v>924</v>
      </c>
      <c r="C210" s="121" t="s">
        <v>48</v>
      </c>
      <c r="D210" s="121">
        <v>1</v>
      </c>
      <c r="E210" s="120" t="s">
        <v>925</v>
      </c>
      <c r="F210" s="6" t="s">
        <v>25</v>
      </c>
      <c r="G210" s="143">
        <v>48000</v>
      </c>
      <c r="H210" s="121" t="s">
        <v>730</v>
      </c>
      <c r="I210" s="122" t="s">
        <v>27</v>
      </c>
      <c r="J210" s="122" t="s">
        <v>27</v>
      </c>
      <c r="K210" s="122" t="s">
        <v>27</v>
      </c>
      <c r="L210" s="122" t="s">
        <v>27</v>
      </c>
      <c r="M210" s="122" t="s">
        <v>27</v>
      </c>
      <c r="N210" s="122" t="s">
        <v>27</v>
      </c>
      <c r="O210" s="122" t="s">
        <v>709</v>
      </c>
      <c r="P210" s="75" t="s">
        <v>710</v>
      </c>
      <c r="Q210" s="83">
        <f t="shared" si="3"/>
        <v>2021</v>
      </c>
      <c r="R210" s="106"/>
    </row>
    <row r="211" spans="1:18" ht="14.5" hidden="1" customHeight="1" x14ac:dyDescent="0.35">
      <c r="A211" s="123" t="s">
        <v>923</v>
      </c>
      <c r="B211" s="124" t="s">
        <v>924</v>
      </c>
      <c r="C211" s="121" t="s">
        <v>48</v>
      </c>
      <c r="D211" s="121">
        <v>2</v>
      </c>
      <c r="E211" s="120" t="s">
        <v>926</v>
      </c>
      <c r="F211" s="6" t="s">
        <v>25</v>
      </c>
      <c r="G211" s="143">
        <v>15000</v>
      </c>
      <c r="H211" s="121" t="s">
        <v>730</v>
      </c>
      <c r="I211" s="122" t="s">
        <v>27</v>
      </c>
      <c r="J211" s="122" t="s">
        <v>27</v>
      </c>
      <c r="K211" s="122" t="s">
        <v>27</v>
      </c>
      <c r="L211" s="122" t="s">
        <v>27</v>
      </c>
      <c r="M211" s="122" t="s">
        <v>27</v>
      </c>
      <c r="N211" s="122" t="s">
        <v>27</v>
      </c>
      <c r="O211" s="122" t="s">
        <v>745</v>
      </c>
      <c r="P211" s="75"/>
      <c r="Q211" s="83">
        <f t="shared" si="3"/>
        <v>2021</v>
      </c>
      <c r="R211" s="106"/>
    </row>
    <row r="212" spans="1:18" ht="14.5" hidden="1" customHeight="1" x14ac:dyDescent="0.35">
      <c r="A212" s="123" t="s">
        <v>923</v>
      </c>
      <c r="B212" s="124" t="s">
        <v>924</v>
      </c>
      <c r="C212" s="121" t="s">
        <v>48</v>
      </c>
      <c r="D212" s="121" t="s">
        <v>671</v>
      </c>
      <c r="E212" s="120" t="s">
        <v>927</v>
      </c>
      <c r="F212" s="6" t="s">
        <v>25</v>
      </c>
      <c r="G212" s="143">
        <v>115000</v>
      </c>
      <c r="H212" s="121" t="s">
        <v>726</v>
      </c>
      <c r="I212" s="122" t="s">
        <v>27</v>
      </c>
      <c r="J212" s="122" t="s">
        <v>27</v>
      </c>
      <c r="K212" s="122" t="s">
        <v>27</v>
      </c>
      <c r="L212" s="122" t="s">
        <v>27</v>
      </c>
      <c r="M212" s="122" t="s">
        <v>27</v>
      </c>
      <c r="N212" s="122" t="s">
        <v>27</v>
      </c>
      <c r="O212" s="122" t="s">
        <v>745</v>
      </c>
      <c r="P212" s="75"/>
      <c r="Q212" s="83">
        <f t="shared" si="3"/>
        <v>2021</v>
      </c>
      <c r="R212" s="106"/>
    </row>
    <row r="213" spans="1:18" ht="14.5" hidden="1" customHeight="1" x14ac:dyDescent="0.35">
      <c r="A213" s="123" t="s">
        <v>923</v>
      </c>
      <c r="B213" s="124" t="s">
        <v>924</v>
      </c>
      <c r="C213" s="121" t="s">
        <v>48</v>
      </c>
      <c r="D213" s="121">
        <v>4</v>
      </c>
      <c r="E213" s="120" t="s">
        <v>928</v>
      </c>
      <c r="F213" s="6" t="s">
        <v>25</v>
      </c>
      <c r="G213" s="143">
        <v>75000</v>
      </c>
      <c r="H213" s="121" t="s">
        <v>730</v>
      </c>
      <c r="I213" s="122" t="s">
        <v>27</v>
      </c>
      <c r="J213" s="122" t="s">
        <v>27</v>
      </c>
      <c r="K213" s="122" t="s">
        <v>27</v>
      </c>
      <c r="L213" s="122" t="s">
        <v>27</v>
      </c>
      <c r="M213" s="122" t="s">
        <v>27</v>
      </c>
      <c r="N213" s="122" t="s">
        <v>27</v>
      </c>
      <c r="O213" s="122" t="s">
        <v>745</v>
      </c>
      <c r="P213" s="75"/>
      <c r="Q213" s="83">
        <f t="shared" si="3"/>
        <v>2021</v>
      </c>
      <c r="R213" s="106"/>
    </row>
    <row r="214" spans="1:18" ht="14.5" hidden="1" customHeight="1" x14ac:dyDescent="0.35">
      <c r="A214" s="123" t="s">
        <v>929</v>
      </c>
      <c r="B214" s="124" t="s">
        <v>930</v>
      </c>
      <c r="C214" s="121" t="s">
        <v>42</v>
      </c>
      <c r="D214" s="121">
        <v>1</v>
      </c>
      <c r="E214" s="120" t="s">
        <v>931</v>
      </c>
      <c r="F214" s="6" t="s">
        <v>25</v>
      </c>
      <c r="G214" s="143">
        <v>60000</v>
      </c>
      <c r="H214" s="121" t="s">
        <v>749</v>
      </c>
      <c r="I214" s="162"/>
      <c r="J214" s="162"/>
      <c r="K214" s="162"/>
      <c r="L214" s="162"/>
      <c r="M214" s="162"/>
      <c r="N214" s="162"/>
      <c r="O214" s="122" t="s">
        <v>664</v>
      </c>
      <c r="P214" s="22"/>
      <c r="Q214" s="83">
        <f t="shared" si="3"/>
        <v>2021</v>
      </c>
      <c r="R214" s="106"/>
    </row>
    <row r="215" spans="1:18" ht="14.5" hidden="1" customHeight="1" x14ac:dyDescent="0.35">
      <c r="A215" s="123" t="s">
        <v>929</v>
      </c>
      <c r="B215" s="124" t="s">
        <v>930</v>
      </c>
      <c r="C215" s="121" t="s">
        <v>42</v>
      </c>
      <c r="D215" s="121">
        <v>2</v>
      </c>
      <c r="E215" s="120" t="s">
        <v>932</v>
      </c>
      <c r="F215" s="6" t="s">
        <v>25</v>
      </c>
      <c r="G215" s="143">
        <v>40000</v>
      </c>
      <c r="H215" s="121" t="s">
        <v>749</v>
      </c>
      <c r="I215" s="162"/>
      <c r="J215" s="162"/>
      <c r="K215" s="162"/>
      <c r="L215" s="162"/>
      <c r="M215" s="162"/>
      <c r="N215" s="162"/>
      <c r="O215" s="122" t="s">
        <v>664</v>
      </c>
      <c r="P215" s="22"/>
      <c r="Q215" s="83">
        <f t="shared" si="3"/>
        <v>2021</v>
      </c>
      <c r="R215" s="106"/>
    </row>
    <row r="216" spans="1:18" ht="14.5" hidden="1" customHeight="1" x14ac:dyDescent="0.35">
      <c r="A216" s="123" t="s">
        <v>929</v>
      </c>
      <c r="B216" s="124" t="s">
        <v>930</v>
      </c>
      <c r="C216" s="121" t="s">
        <v>42</v>
      </c>
      <c r="D216" s="121">
        <v>3</v>
      </c>
      <c r="E216" s="120" t="s">
        <v>932</v>
      </c>
      <c r="F216" s="6" t="s">
        <v>25</v>
      </c>
      <c r="G216" s="143">
        <v>31500</v>
      </c>
      <c r="H216" s="121" t="s">
        <v>749</v>
      </c>
      <c r="I216" s="162"/>
      <c r="J216" s="162"/>
      <c r="K216" s="162"/>
      <c r="L216" s="162"/>
      <c r="M216" s="162"/>
      <c r="N216" s="162"/>
      <c r="O216" s="122" t="s">
        <v>664</v>
      </c>
      <c r="P216" s="22"/>
      <c r="Q216" s="83">
        <f t="shared" si="3"/>
        <v>2021</v>
      </c>
      <c r="R216" s="106"/>
    </row>
    <row r="217" spans="1:18" ht="14.5" hidden="1" customHeight="1" x14ac:dyDescent="0.35">
      <c r="A217" s="123" t="s">
        <v>929</v>
      </c>
      <c r="B217" s="124" t="s">
        <v>930</v>
      </c>
      <c r="C217" s="121" t="s">
        <v>42</v>
      </c>
      <c r="D217" s="121">
        <v>4</v>
      </c>
      <c r="E217" s="120" t="s">
        <v>933</v>
      </c>
      <c r="F217" s="6" t="s">
        <v>25</v>
      </c>
      <c r="G217" s="143">
        <v>11000</v>
      </c>
      <c r="H217" s="121" t="s">
        <v>749</v>
      </c>
      <c r="I217" s="162"/>
      <c r="J217" s="162"/>
      <c r="K217" s="162"/>
      <c r="L217" s="162"/>
      <c r="M217" s="162"/>
      <c r="N217" s="162"/>
      <c r="O217" s="122" t="s">
        <v>664</v>
      </c>
      <c r="P217" s="22"/>
      <c r="Q217" s="83">
        <f t="shared" si="3"/>
        <v>2021</v>
      </c>
      <c r="R217" s="106"/>
    </row>
    <row r="218" spans="1:18" ht="14.5" hidden="1" customHeight="1" x14ac:dyDescent="0.35">
      <c r="A218" s="123" t="s">
        <v>934</v>
      </c>
      <c r="B218" s="124" t="s">
        <v>935</v>
      </c>
      <c r="C218" s="121" t="s">
        <v>48</v>
      </c>
      <c r="D218" s="121">
        <v>1</v>
      </c>
      <c r="E218" s="120" t="s">
        <v>936</v>
      </c>
      <c r="F218" s="6" t="s">
        <v>44</v>
      </c>
      <c r="G218" s="143">
        <v>2975000</v>
      </c>
      <c r="H218" s="121" t="s">
        <v>730</v>
      </c>
      <c r="I218" s="122" t="s">
        <v>27</v>
      </c>
      <c r="J218" s="122" t="s">
        <v>27</v>
      </c>
      <c r="K218" s="122" t="s">
        <v>27</v>
      </c>
      <c r="L218" s="122" t="s">
        <v>27</v>
      </c>
      <c r="M218" s="122" t="s">
        <v>27</v>
      </c>
      <c r="N218" s="122" t="s">
        <v>27</v>
      </c>
      <c r="O218" s="122" t="s">
        <v>709</v>
      </c>
      <c r="P218" s="75" t="s">
        <v>710</v>
      </c>
      <c r="Q218" s="83">
        <f t="shared" si="3"/>
        <v>2021</v>
      </c>
      <c r="R218" s="106"/>
    </row>
    <row r="219" spans="1:18" ht="14.5" hidden="1" customHeight="1" x14ac:dyDescent="0.35">
      <c r="A219" s="123" t="s">
        <v>937</v>
      </c>
      <c r="B219" s="124" t="s">
        <v>938</v>
      </c>
      <c r="C219" s="121" t="s">
        <v>48</v>
      </c>
      <c r="D219" s="121">
        <v>1</v>
      </c>
      <c r="E219" s="120" t="s">
        <v>936</v>
      </c>
      <c r="F219" s="6" t="s">
        <v>44</v>
      </c>
      <c r="G219" s="143">
        <v>2975000</v>
      </c>
      <c r="H219" s="121" t="s">
        <v>730</v>
      </c>
      <c r="I219" s="122" t="s">
        <v>27</v>
      </c>
      <c r="J219" s="122" t="s">
        <v>27</v>
      </c>
      <c r="K219" s="122" t="s">
        <v>27</v>
      </c>
      <c r="L219" s="122" t="s">
        <v>27</v>
      </c>
      <c r="M219" s="122" t="s">
        <v>27</v>
      </c>
      <c r="N219" s="122" t="s">
        <v>27</v>
      </c>
      <c r="O219" s="122" t="s">
        <v>709</v>
      </c>
      <c r="P219" s="75" t="s">
        <v>710</v>
      </c>
      <c r="Q219" s="83">
        <f t="shared" si="3"/>
        <v>2021</v>
      </c>
      <c r="R219" s="106"/>
    </row>
    <row r="220" spans="1:18" ht="14.5" hidden="1" customHeight="1" x14ac:dyDescent="0.35">
      <c r="A220" s="123" t="s">
        <v>939</v>
      </c>
      <c r="B220" s="124" t="s">
        <v>940</v>
      </c>
      <c r="C220" s="121" t="s">
        <v>42</v>
      </c>
      <c r="D220" s="121">
        <v>1</v>
      </c>
      <c r="E220" s="120" t="s">
        <v>941</v>
      </c>
      <c r="F220" s="6" t="s">
        <v>25</v>
      </c>
      <c r="G220" s="143">
        <v>10000</v>
      </c>
      <c r="H220" s="121" t="s">
        <v>730</v>
      </c>
      <c r="I220" s="122" t="s">
        <v>27</v>
      </c>
      <c r="J220" s="122" t="s">
        <v>27</v>
      </c>
      <c r="K220" s="122" t="s">
        <v>27</v>
      </c>
      <c r="L220" s="6" t="s">
        <v>28</v>
      </c>
      <c r="M220" s="122"/>
      <c r="N220" s="122"/>
      <c r="O220" s="122" t="s">
        <v>756</v>
      </c>
      <c r="P220" s="22"/>
      <c r="Q220" s="83">
        <f t="shared" si="3"/>
        <v>2021</v>
      </c>
      <c r="R220" s="127">
        <v>44902</v>
      </c>
    </row>
    <row r="221" spans="1:18" ht="14.5" hidden="1" customHeight="1" x14ac:dyDescent="0.35">
      <c r="A221" s="123" t="s">
        <v>939</v>
      </c>
      <c r="B221" s="124" t="s">
        <v>940</v>
      </c>
      <c r="C221" s="121" t="s">
        <v>42</v>
      </c>
      <c r="D221" s="121">
        <v>2</v>
      </c>
      <c r="E221" s="120" t="s">
        <v>942</v>
      </c>
      <c r="F221" s="6" t="s">
        <v>25</v>
      </c>
      <c r="G221" s="143">
        <v>10000</v>
      </c>
      <c r="H221" s="121" t="s">
        <v>730</v>
      </c>
      <c r="I221" s="122" t="s">
        <v>27</v>
      </c>
      <c r="J221" s="122" t="s">
        <v>27</v>
      </c>
      <c r="K221" s="122" t="s">
        <v>27</v>
      </c>
      <c r="L221" s="6" t="s">
        <v>28</v>
      </c>
      <c r="M221" s="122"/>
      <c r="N221" s="122"/>
      <c r="O221" s="122" t="s">
        <v>756</v>
      </c>
      <c r="P221" s="22"/>
      <c r="Q221" s="83">
        <f t="shared" si="3"/>
        <v>2021</v>
      </c>
      <c r="R221" s="127">
        <v>44902</v>
      </c>
    </row>
    <row r="222" spans="1:18" ht="14.5" hidden="1" customHeight="1" x14ac:dyDescent="0.35">
      <c r="A222" s="123" t="s">
        <v>939</v>
      </c>
      <c r="B222" s="124" t="s">
        <v>940</v>
      </c>
      <c r="C222" s="121" t="s">
        <v>42</v>
      </c>
      <c r="D222" s="121">
        <v>3</v>
      </c>
      <c r="E222" s="120" t="s">
        <v>943</v>
      </c>
      <c r="F222" s="6" t="s">
        <v>25</v>
      </c>
      <c r="G222" s="143">
        <v>291950</v>
      </c>
      <c r="H222" s="119" t="s">
        <v>749</v>
      </c>
      <c r="I222" s="162"/>
      <c r="J222" s="162"/>
      <c r="K222" s="162"/>
      <c r="L222" s="162"/>
      <c r="M222" s="162"/>
      <c r="N222" s="162"/>
      <c r="O222" s="122" t="s">
        <v>664</v>
      </c>
      <c r="P222" s="22"/>
      <c r="Q222" s="83">
        <f t="shared" si="3"/>
        <v>2021</v>
      </c>
      <c r="R222" s="106"/>
    </row>
    <row r="223" spans="1:18" ht="14.5" hidden="1" customHeight="1" x14ac:dyDescent="0.35">
      <c r="A223" s="123" t="s">
        <v>939</v>
      </c>
      <c r="B223" s="124" t="s">
        <v>940</v>
      </c>
      <c r="C223" s="121" t="s">
        <v>42</v>
      </c>
      <c r="D223" s="121">
        <v>4</v>
      </c>
      <c r="E223" s="120" t="s">
        <v>944</v>
      </c>
      <c r="F223" s="6" t="s">
        <v>25</v>
      </c>
      <c r="G223" s="143">
        <v>291950</v>
      </c>
      <c r="H223" s="119" t="s">
        <v>749</v>
      </c>
      <c r="I223" s="162"/>
      <c r="J223" s="162"/>
      <c r="K223" s="162"/>
      <c r="L223" s="162"/>
      <c r="M223" s="162"/>
      <c r="N223" s="162"/>
      <c r="O223" s="122" t="s">
        <v>664</v>
      </c>
      <c r="P223" s="22"/>
      <c r="Q223" s="83">
        <f t="shared" si="3"/>
        <v>2021</v>
      </c>
      <c r="R223" s="106"/>
    </row>
    <row r="224" spans="1:18" ht="14.5" hidden="1" customHeight="1" x14ac:dyDescent="0.35">
      <c r="A224" s="123" t="s">
        <v>939</v>
      </c>
      <c r="B224" s="124" t="s">
        <v>940</v>
      </c>
      <c r="C224" s="121" t="s">
        <v>42</v>
      </c>
      <c r="D224" s="121">
        <v>5</v>
      </c>
      <c r="E224" s="120" t="s">
        <v>945</v>
      </c>
      <c r="F224" s="6" t="s">
        <v>25</v>
      </c>
      <c r="G224" s="143">
        <v>156120</v>
      </c>
      <c r="H224" s="119" t="s">
        <v>749</v>
      </c>
      <c r="I224" s="162"/>
      <c r="J224" s="162"/>
      <c r="K224" s="162"/>
      <c r="L224" s="162"/>
      <c r="M224" s="162"/>
      <c r="N224" s="162"/>
      <c r="O224" s="122" t="s">
        <v>664</v>
      </c>
      <c r="P224" s="22"/>
      <c r="Q224" s="83">
        <f t="shared" si="3"/>
        <v>2021</v>
      </c>
      <c r="R224" s="106"/>
    </row>
    <row r="225" spans="1:18" ht="14.5" hidden="1" customHeight="1" x14ac:dyDescent="0.35">
      <c r="A225" s="123" t="s">
        <v>939</v>
      </c>
      <c r="B225" s="124" t="s">
        <v>940</v>
      </c>
      <c r="C225" s="121" t="s">
        <v>42</v>
      </c>
      <c r="D225" s="121">
        <v>6</v>
      </c>
      <c r="E225" s="120" t="s">
        <v>946</v>
      </c>
      <c r="F225" s="6" t="s">
        <v>25</v>
      </c>
      <c r="G225" s="143">
        <v>156120</v>
      </c>
      <c r="H225" s="119" t="s">
        <v>749</v>
      </c>
      <c r="I225" s="162"/>
      <c r="J225" s="162"/>
      <c r="K225" s="162"/>
      <c r="L225" s="162"/>
      <c r="M225" s="162"/>
      <c r="N225" s="162"/>
      <c r="O225" s="122" t="s">
        <v>664</v>
      </c>
      <c r="P225" s="22"/>
      <c r="Q225" s="83">
        <f t="shared" si="3"/>
        <v>2021</v>
      </c>
      <c r="R225" s="106"/>
    </row>
    <row r="226" spans="1:18" ht="14.5" hidden="1" customHeight="1" x14ac:dyDescent="0.35">
      <c r="A226" s="123" t="s">
        <v>939</v>
      </c>
      <c r="B226" s="124" t="s">
        <v>940</v>
      </c>
      <c r="C226" s="121" t="s">
        <v>42</v>
      </c>
      <c r="D226" s="121">
        <v>7</v>
      </c>
      <c r="E226" s="120" t="s">
        <v>947</v>
      </c>
      <c r="F226" s="6" t="s">
        <v>25</v>
      </c>
      <c r="G226" s="143">
        <v>78060</v>
      </c>
      <c r="H226" s="119" t="s">
        <v>749</v>
      </c>
      <c r="I226" s="162"/>
      <c r="J226" s="162"/>
      <c r="K226" s="162"/>
      <c r="L226" s="162"/>
      <c r="M226" s="162"/>
      <c r="N226" s="162"/>
      <c r="O226" s="122" t="s">
        <v>664</v>
      </c>
      <c r="P226" s="22"/>
      <c r="Q226" s="83">
        <f t="shared" si="3"/>
        <v>2021</v>
      </c>
      <c r="R226" s="106"/>
    </row>
    <row r="227" spans="1:18" ht="14.5" hidden="1" customHeight="1" x14ac:dyDescent="0.35">
      <c r="A227" s="123" t="s">
        <v>939</v>
      </c>
      <c r="B227" s="124" t="s">
        <v>940</v>
      </c>
      <c r="C227" s="121" t="s">
        <v>42</v>
      </c>
      <c r="D227" s="121">
        <v>8</v>
      </c>
      <c r="E227" s="120" t="s">
        <v>948</v>
      </c>
      <c r="F227" s="6" t="s">
        <v>25</v>
      </c>
      <c r="G227" s="143">
        <v>78060</v>
      </c>
      <c r="H227" s="119" t="s">
        <v>749</v>
      </c>
      <c r="I227" s="162"/>
      <c r="J227" s="162"/>
      <c r="K227" s="162"/>
      <c r="L227" s="162"/>
      <c r="M227" s="162"/>
      <c r="N227" s="162"/>
      <c r="O227" s="122" t="s">
        <v>664</v>
      </c>
      <c r="P227" s="22"/>
      <c r="Q227" s="83">
        <f t="shared" si="3"/>
        <v>2021</v>
      </c>
      <c r="R227" s="106"/>
    </row>
    <row r="228" spans="1:18" ht="14.5" hidden="1" customHeight="1" x14ac:dyDescent="0.35">
      <c r="A228" s="123" t="s">
        <v>939</v>
      </c>
      <c r="B228" s="124" t="s">
        <v>940</v>
      </c>
      <c r="C228" s="121" t="s">
        <v>42</v>
      </c>
      <c r="D228" s="121">
        <v>9</v>
      </c>
      <c r="E228" s="120" t="s">
        <v>949</v>
      </c>
      <c r="F228" s="6" t="s">
        <v>25</v>
      </c>
      <c r="G228" s="143">
        <v>64570</v>
      </c>
      <c r="H228" s="119" t="s">
        <v>749</v>
      </c>
      <c r="I228" s="162"/>
      <c r="J228" s="162"/>
      <c r="K228" s="162"/>
      <c r="L228" s="162"/>
      <c r="M228" s="162"/>
      <c r="N228" s="162"/>
      <c r="O228" s="122" t="s">
        <v>664</v>
      </c>
      <c r="P228" s="22"/>
      <c r="Q228" s="83">
        <f t="shared" si="3"/>
        <v>2021</v>
      </c>
      <c r="R228" s="106"/>
    </row>
    <row r="229" spans="1:18" ht="14.5" hidden="1" customHeight="1" x14ac:dyDescent="0.35">
      <c r="A229" s="123" t="s">
        <v>939</v>
      </c>
      <c r="B229" s="124" t="s">
        <v>940</v>
      </c>
      <c r="C229" s="121" t="s">
        <v>42</v>
      </c>
      <c r="D229" s="121">
        <v>10</v>
      </c>
      <c r="E229" s="120" t="s">
        <v>950</v>
      </c>
      <c r="F229" s="6" t="s">
        <v>25</v>
      </c>
      <c r="G229" s="143">
        <v>64980</v>
      </c>
      <c r="H229" s="119" t="s">
        <v>749</v>
      </c>
      <c r="I229" s="162"/>
      <c r="J229" s="162"/>
      <c r="K229" s="162"/>
      <c r="L229" s="162"/>
      <c r="M229" s="162"/>
      <c r="N229" s="162"/>
      <c r="O229" s="122" t="s">
        <v>664</v>
      </c>
      <c r="P229" s="22"/>
      <c r="Q229" s="83">
        <f t="shared" si="3"/>
        <v>2021</v>
      </c>
      <c r="R229" s="106"/>
    </row>
    <row r="230" spans="1:18" ht="14.5" hidden="1" customHeight="1" x14ac:dyDescent="0.35">
      <c r="A230" s="123" t="s">
        <v>939</v>
      </c>
      <c r="B230" s="124" t="s">
        <v>940</v>
      </c>
      <c r="C230" s="121" t="s">
        <v>42</v>
      </c>
      <c r="D230" s="121">
        <v>11</v>
      </c>
      <c r="E230" s="120" t="s">
        <v>951</v>
      </c>
      <c r="F230" s="6" t="s">
        <v>25</v>
      </c>
      <c r="G230" s="143">
        <v>97606</v>
      </c>
      <c r="H230" s="119" t="s">
        <v>749</v>
      </c>
      <c r="I230" s="162"/>
      <c r="J230" s="162"/>
      <c r="K230" s="162"/>
      <c r="L230" s="162"/>
      <c r="M230" s="162"/>
      <c r="N230" s="162"/>
      <c r="O230" s="122" t="s">
        <v>664</v>
      </c>
      <c r="P230" s="22"/>
      <c r="Q230" s="83">
        <f t="shared" si="3"/>
        <v>2021</v>
      </c>
      <c r="R230" s="106"/>
    </row>
    <row r="231" spans="1:18" ht="14.5" hidden="1" customHeight="1" x14ac:dyDescent="0.35">
      <c r="A231" s="118" t="s">
        <v>952</v>
      </c>
      <c r="B231" s="88" t="s">
        <v>953</v>
      </c>
      <c r="C231" s="119" t="s">
        <v>23</v>
      </c>
      <c r="D231" s="119">
        <v>1</v>
      </c>
      <c r="E231" s="120" t="s">
        <v>954</v>
      </c>
      <c r="F231" s="6" t="s">
        <v>25</v>
      </c>
      <c r="G231" s="143">
        <v>372816</v>
      </c>
      <c r="H231" s="121" t="s">
        <v>663</v>
      </c>
      <c r="I231" s="162"/>
      <c r="J231" s="162"/>
      <c r="K231" s="162"/>
      <c r="L231" s="162"/>
      <c r="M231" s="162"/>
      <c r="N231" s="162"/>
      <c r="O231" s="122" t="s">
        <v>664</v>
      </c>
      <c r="P231" s="22"/>
      <c r="Q231" s="83">
        <f t="shared" si="3"/>
        <v>2021</v>
      </c>
      <c r="R231" s="106"/>
    </row>
    <row r="232" spans="1:18" ht="14.5" hidden="1" customHeight="1" x14ac:dyDescent="0.35">
      <c r="A232" s="118" t="s">
        <v>952</v>
      </c>
      <c r="B232" s="88" t="s">
        <v>953</v>
      </c>
      <c r="C232" s="119" t="s">
        <v>23</v>
      </c>
      <c r="D232" s="119">
        <v>0</v>
      </c>
      <c r="E232" s="120" t="s">
        <v>955</v>
      </c>
      <c r="F232" s="6" t="s">
        <v>25</v>
      </c>
      <c r="G232" s="143">
        <v>248544</v>
      </c>
      <c r="H232" s="121" t="s">
        <v>663</v>
      </c>
      <c r="I232" s="162"/>
      <c r="J232" s="162"/>
      <c r="K232" s="162"/>
      <c r="L232" s="162"/>
      <c r="M232" s="162"/>
      <c r="N232" s="162"/>
      <c r="O232" s="122" t="s">
        <v>664</v>
      </c>
      <c r="P232" s="22"/>
      <c r="Q232" s="83">
        <f t="shared" si="3"/>
        <v>2021</v>
      </c>
      <c r="R232" s="106"/>
    </row>
    <row r="233" spans="1:18" ht="14.5" hidden="1" customHeight="1" x14ac:dyDescent="0.35">
      <c r="A233" s="118" t="s">
        <v>952</v>
      </c>
      <c r="B233" s="88" t="s">
        <v>953</v>
      </c>
      <c r="C233" s="119" t="s">
        <v>23</v>
      </c>
      <c r="D233" s="119" t="s">
        <v>667</v>
      </c>
      <c r="E233" s="120" t="s">
        <v>954</v>
      </c>
      <c r="F233" s="6" t="s">
        <v>25</v>
      </c>
      <c r="G233" s="143">
        <v>186816</v>
      </c>
      <c r="H233" s="121" t="s">
        <v>663</v>
      </c>
      <c r="I233" s="162"/>
      <c r="J233" s="162"/>
      <c r="K233" s="162"/>
      <c r="L233" s="162"/>
      <c r="M233" s="162"/>
      <c r="N233" s="162"/>
      <c r="O233" s="122" t="s">
        <v>664</v>
      </c>
      <c r="P233" s="22"/>
      <c r="Q233" s="83">
        <f t="shared" si="3"/>
        <v>2021</v>
      </c>
      <c r="R233" s="106"/>
    </row>
    <row r="234" spans="1:18" ht="14.5" hidden="1" customHeight="1" x14ac:dyDescent="0.35">
      <c r="A234" s="118" t="s">
        <v>952</v>
      </c>
      <c r="B234" s="88" t="s">
        <v>953</v>
      </c>
      <c r="C234" s="119" t="s">
        <v>23</v>
      </c>
      <c r="D234" s="119">
        <v>0</v>
      </c>
      <c r="E234" s="120" t="s">
        <v>955</v>
      </c>
      <c r="F234" s="6" t="s">
        <v>25</v>
      </c>
      <c r="G234" s="143">
        <v>103544</v>
      </c>
      <c r="H234" s="121" t="s">
        <v>663</v>
      </c>
      <c r="I234" s="162"/>
      <c r="J234" s="162"/>
      <c r="K234" s="162"/>
      <c r="L234" s="162"/>
      <c r="M234" s="162"/>
      <c r="N234" s="162"/>
      <c r="O234" s="122" t="s">
        <v>664</v>
      </c>
      <c r="P234" s="22"/>
      <c r="Q234" s="83">
        <f t="shared" si="3"/>
        <v>2021</v>
      </c>
      <c r="R234" s="106"/>
    </row>
    <row r="235" spans="1:18" ht="14.5" hidden="1" customHeight="1" x14ac:dyDescent="0.35">
      <c r="A235" s="118" t="s">
        <v>952</v>
      </c>
      <c r="B235" s="88" t="s">
        <v>953</v>
      </c>
      <c r="C235" s="119" t="s">
        <v>23</v>
      </c>
      <c r="D235" s="119" t="s">
        <v>766</v>
      </c>
      <c r="E235" s="120" t="s">
        <v>956</v>
      </c>
      <c r="F235" s="6" t="s">
        <v>25</v>
      </c>
      <c r="G235" s="143">
        <v>160000</v>
      </c>
      <c r="H235" s="119" t="s">
        <v>709</v>
      </c>
      <c r="I235" s="122" t="s">
        <v>27</v>
      </c>
      <c r="J235" s="122" t="s">
        <v>27</v>
      </c>
      <c r="K235" s="122" t="s">
        <v>27</v>
      </c>
      <c r="L235" s="122" t="s">
        <v>27</v>
      </c>
      <c r="M235" s="122" t="s">
        <v>27</v>
      </c>
      <c r="N235" s="122" t="s">
        <v>27</v>
      </c>
      <c r="O235" s="122" t="s">
        <v>709</v>
      </c>
      <c r="P235" s="22" t="s">
        <v>710</v>
      </c>
      <c r="Q235" s="83">
        <f t="shared" si="3"/>
        <v>2021</v>
      </c>
      <c r="R235" s="106"/>
    </row>
    <row r="236" spans="1:18" ht="14.5" hidden="1" customHeight="1" x14ac:dyDescent="0.35">
      <c r="A236" s="118" t="s">
        <v>952</v>
      </c>
      <c r="B236" s="88" t="s">
        <v>953</v>
      </c>
      <c r="C236" s="119" t="s">
        <v>23</v>
      </c>
      <c r="D236" s="119">
        <v>0</v>
      </c>
      <c r="E236" s="120" t="s">
        <v>957</v>
      </c>
      <c r="F236" s="6" t="s">
        <v>25</v>
      </c>
      <c r="G236" s="143">
        <v>90000</v>
      </c>
      <c r="H236" s="119" t="s">
        <v>709</v>
      </c>
      <c r="I236" s="122" t="s">
        <v>27</v>
      </c>
      <c r="J236" s="122" t="s">
        <v>27</v>
      </c>
      <c r="K236" s="122" t="s">
        <v>27</v>
      </c>
      <c r="L236" s="122" t="s">
        <v>27</v>
      </c>
      <c r="M236" s="122" t="s">
        <v>27</v>
      </c>
      <c r="N236" s="122" t="s">
        <v>27</v>
      </c>
      <c r="O236" s="122" t="s">
        <v>709</v>
      </c>
      <c r="P236" s="22" t="s">
        <v>710</v>
      </c>
      <c r="Q236" s="83">
        <f t="shared" si="3"/>
        <v>2021</v>
      </c>
      <c r="R236" s="106"/>
    </row>
    <row r="237" spans="1:18" ht="14.5" hidden="1" customHeight="1" x14ac:dyDescent="0.35">
      <c r="A237" s="118" t="s">
        <v>952</v>
      </c>
      <c r="B237" s="88" t="s">
        <v>953</v>
      </c>
      <c r="C237" s="119" t="s">
        <v>23</v>
      </c>
      <c r="D237" s="119">
        <v>2</v>
      </c>
      <c r="E237" s="120" t="s">
        <v>958</v>
      </c>
      <c r="F237" s="6" t="s">
        <v>25</v>
      </c>
      <c r="G237" s="143">
        <v>25000</v>
      </c>
      <c r="H237" s="121" t="s">
        <v>663</v>
      </c>
      <c r="I237" s="162"/>
      <c r="J237" s="162"/>
      <c r="K237" s="162"/>
      <c r="L237" s="162"/>
      <c r="M237" s="162"/>
      <c r="N237" s="162"/>
      <c r="O237" s="122" t="s">
        <v>664</v>
      </c>
      <c r="P237" s="22"/>
      <c r="Q237" s="83">
        <f t="shared" si="3"/>
        <v>2021</v>
      </c>
      <c r="R237" s="106"/>
    </row>
    <row r="238" spans="1:18" ht="14.5" hidden="1" customHeight="1" x14ac:dyDescent="0.35">
      <c r="A238" s="118" t="s">
        <v>952</v>
      </c>
      <c r="B238" s="88" t="s">
        <v>953</v>
      </c>
      <c r="C238" s="119" t="s">
        <v>23</v>
      </c>
      <c r="D238" s="119">
        <v>3</v>
      </c>
      <c r="E238" s="120" t="s">
        <v>959</v>
      </c>
      <c r="F238" s="6" t="s">
        <v>25</v>
      </c>
      <c r="G238" s="143">
        <v>20000</v>
      </c>
      <c r="H238" s="121" t="s">
        <v>663</v>
      </c>
      <c r="I238" s="162"/>
      <c r="J238" s="162"/>
      <c r="K238" s="162"/>
      <c r="L238" s="162"/>
      <c r="M238" s="162"/>
      <c r="N238" s="162"/>
      <c r="O238" s="122" t="s">
        <v>664</v>
      </c>
      <c r="P238" s="22"/>
      <c r="Q238" s="83">
        <f t="shared" si="3"/>
        <v>2021</v>
      </c>
      <c r="R238" s="106"/>
    </row>
    <row r="239" spans="1:18" ht="14.5" hidden="1" customHeight="1" x14ac:dyDescent="0.35">
      <c r="A239" s="118" t="s">
        <v>952</v>
      </c>
      <c r="B239" s="88" t="s">
        <v>953</v>
      </c>
      <c r="C239" s="119" t="s">
        <v>23</v>
      </c>
      <c r="D239" s="119" t="s">
        <v>671</v>
      </c>
      <c r="E239" s="120" t="s">
        <v>959</v>
      </c>
      <c r="F239" s="6" t="s">
        <v>25</v>
      </c>
      <c r="G239" s="143">
        <v>25000</v>
      </c>
      <c r="H239" s="119" t="s">
        <v>709</v>
      </c>
      <c r="I239" s="122" t="s">
        <v>27</v>
      </c>
      <c r="J239" s="122" t="s">
        <v>27</v>
      </c>
      <c r="K239" s="122" t="s">
        <v>27</v>
      </c>
      <c r="L239" s="122" t="s">
        <v>27</v>
      </c>
      <c r="M239" s="122" t="s">
        <v>27</v>
      </c>
      <c r="N239" s="122" t="s">
        <v>27</v>
      </c>
      <c r="O239" s="122" t="s">
        <v>745</v>
      </c>
      <c r="P239" s="22"/>
      <c r="Q239" s="83">
        <f t="shared" si="3"/>
        <v>2021</v>
      </c>
      <c r="R239" s="106"/>
    </row>
    <row r="240" spans="1:18" ht="14.5" hidden="1" customHeight="1" x14ac:dyDescent="0.35">
      <c r="A240" s="118" t="s">
        <v>952</v>
      </c>
      <c r="B240" s="88" t="s">
        <v>953</v>
      </c>
      <c r="C240" s="119" t="s">
        <v>23</v>
      </c>
      <c r="D240" s="119">
        <v>4</v>
      </c>
      <c r="E240" s="120" t="s">
        <v>960</v>
      </c>
      <c r="F240" s="6" t="s">
        <v>25</v>
      </c>
      <c r="G240" s="143">
        <v>40000</v>
      </c>
      <c r="H240" s="121" t="s">
        <v>663</v>
      </c>
      <c r="I240" s="162"/>
      <c r="J240" s="162"/>
      <c r="K240" s="162"/>
      <c r="L240" s="162"/>
      <c r="M240" s="162"/>
      <c r="N240" s="162"/>
      <c r="O240" s="122" t="s">
        <v>664</v>
      </c>
      <c r="P240" s="22"/>
      <c r="Q240" s="83">
        <f t="shared" si="3"/>
        <v>2021</v>
      </c>
      <c r="R240" s="106"/>
    </row>
    <row r="241" spans="1:18" ht="14.5" hidden="1" customHeight="1" x14ac:dyDescent="0.35">
      <c r="A241" s="118" t="s">
        <v>952</v>
      </c>
      <c r="B241" s="88" t="s">
        <v>953</v>
      </c>
      <c r="C241" s="119" t="s">
        <v>23</v>
      </c>
      <c r="D241" s="119" t="s">
        <v>673</v>
      </c>
      <c r="E241" s="120" t="s">
        <v>960</v>
      </c>
      <c r="F241" s="6" t="s">
        <v>25</v>
      </c>
      <c r="G241" s="143">
        <v>28500</v>
      </c>
      <c r="H241" s="119" t="s">
        <v>709</v>
      </c>
      <c r="I241" s="122" t="s">
        <v>27</v>
      </c>
      <c r="J241" s="122" t="s">
        <v>27</v>
      </c>
      <c r="K241" s="122" t="s">
        <v>27</v>
      </c>
      <c r="L241" s="122" t="s">
        <v>27</v>
      </c>
      <c r="M241" s="122" t="s">
        <v>27</v>
      </c>
      <c r="N241" s="122" t="s">
        <v>27</v>
      </c>
      <c r="O241" s="122" t="s">
        <v>709</v>
      </c>
      <c r="P241" s="22" t="s">
        <v>710</v>
      </c>
      <c r="Q241" s="83">
        <f t="shared" si="3"/>
        <v>2021</v>
      </c>
      <c r="R241" s="106"/>
    </row>
    <row r="242" spans="1:18" ht="14.5" hidden="1" customHeight="1" x14ac:dyDescent="0.35">
      <c r="A242" s="118" t="s">
        <v>952</v>
      </c>
      <c r="B242" s="88" t="s">
        <v>953</v>
      </c>
      <c r="C242" s="119" t="s">
        <v>23</v>
      </c>
      <c r="D242" s="119" t="s">
        <v>961</v>
      </c>
      <c r="E242" s="120" t="s">
        <v>716</v>
      </c>
      <c r="F242" s="6" t="s">
        <v>25</v>
      </c>
      <c r="G242" s="143">
        <v>40000</v>
      </c>
      <c r="H242" s="119" t="s">
        <v>709</v>
      </c>
      <c r="I242" s="122" t="s">
        <v>27</v>
      </c>
      <c r="J242" s="122" t="s">
        <v>27</v>
      </c>
      <c r="K242" s="122" t="s">
        <v>27</v>
      </c>
      <c r="L242" s="122" t="s">
        <v>27</v>
      </c>
      <c r="M242" s="122" t="s">
        <v>27</v>
      </c>
      <c r="N242" s="122" t="s">
        <v>27</v>
      </c>
      <c r="O242" s="122" t="s">
        <v>709</v>
      </c>
      <c r="P242" s="22" t="s">
        <v>962</v>
      </c>
      <c r="Q242" s="83">
        <f t="shared" si="3"/>
        <v>2021</v>
      </c>
      <c r="R242" s="106"/>
    </row>
    <row r="243" spans="1:18" ht="14.5" hidden="1" customHeight="1" x14ac:dyDescent="0.35">
      <c r="A243" s="118" t="s">
        <v>952</v>
      </c>
      <c r="B243" s="88" t="s">
        <v>953</v>
      </c>
      <c r="C243" s="119" t="s">
        <v>23</v>
      </c>
      <c r="D243" s="119">
        <v>3</v>
      </c>
      <c r="E243" s="120" t="s">
        <v>963</v>
      </c>
      <c r="F243" s="6" t="s">
        <v>25</v>
      </c>
      <c r="G243" s="143">
        <v>10500</v>
      </c>
      <c r="H243" s="119" t="s">
        <v>709</v>
      </c>
      <c r="I243" s="122" t="s">
        <v>27</v>
      </c>
      <c r="J243" s="122" t="s">
        <v>27</v>
      </c>
      <c r="K243" s="122" t="s">
        <v>27</v>
      </c>
      <c r="L243" s="122" t="s">
        <v>27</v>
      </c>
      <c r="M243" s="122" t="s">
        <v>27</v>
      </c>
      <c r="N243" s="122" t="s">
        <v>27</v>
      </c>
      <c r="O243" s="122" t="s">
        <v>709</v>
      </c>
      <c r="P243" s="22" t="s">
        <v>710</v>
      </c>
      <c r="Q243" s="83">
        <f t="shared" si="3"/>
        <v>2021</v>
      </c>
      <c r="R243" s="106"/>
    </row>
    <row r="244" spans="1:18" ht="14.5" hidden="1" customHeight="1" x14ac:dyDescent="0.35">
      <c r="A244" s="118" t="s">
        <v>952</v>
      </c>
      <c r="B244" s="88" t="s">
        <v>953</v>
      </c>
      <c r="C244" s="119" t="s">
        <v>23</v>
      </c>
      <c r="D244" s="119">
        <v>6</v>
      </c>
      <c r="E244" s="120" t="s">
        <v>827</v>
      </c>
      <c r="F244" s="6" t="s">
        <v>25</v>
      </c>
      <c r="G244" s="143">
        <v>250800</v>
      </c>
      <c r="H244" s="121" t="s">
        <v>663</v>
      </c>
      <c r="I244" s="162"/>
      <c r="J244" s="162"/>
      <c r="K244" s="162"/>
      <c r="L244" s="162"/>
      <c r="M244" s="162"/>
      <c r="N244" s="162"/>
      <c r="O244" s="122" t="s">
        <v>664</v>
      </c>
      <c r="P244" s="22"/>
      <c r="Q244" s="83">
        <f t="shared" si="3"/>
        <v>2021</v>
      </c>
      <c r="R244" s="106"/>
    </row>
    <row r="245" spans="1:18" ht="14.5" hidden="1" customHeight="1" x14ac:dyDescent="0.35">
      <c r="A245" s="118" t="s">
        <v>952</v>
      </c>
      <c r="B245" s="88" t="s">
        <v>953</v>
      </c>
      <c r="C245" s="119" t="s">
        <v>23</v>
      </c>
      <c r="D245" s="119">
        <v>5</v>
      </c>
      <c r="E245" s="120" t="s">
        <v>827</v>
      </c>
      <c r="F245" s="6" t="s">
        <v>25</v>
      </c>
      <c r="G245" s="143">
        <v>81536</v>
      </c>
      <c r="H245" s="119" t="s">
        <v>709</v>
      </c>
      <c r="I245" s="122" t="s">
        <v>27</v>
      </c>
      <c r="J245" s="122" t="s">
        <v>27</v>
      </c>
      <c r="K245" s="122" t="s">
        <v>27</v>
      </c>
      <c r="L245" s="122" t="s">
        <v>27</v>
      </c>
      <c r="M245" s="122" t="s">
        <v>27</v>
      </c>
      <c r="N245" s="122" t="s">
        <v>27</v>
      </c>
      <c r="O245" s="122" t="s">
        <v>709</v>
      </c>
      <c r="P245" s="22" t="s">
        <v>964</v>
      </c>
      <c r="Q245" s="83">
        <f t="shared" si="3"/>
        <v>2021</v>
      </c>
      <c r="R245" s="106"/>
    </row>
    <row r="246" spans="1:18" ht="14.5" hidden="1" customHeight="1" x14ac:dyDescent="0.35">
      <c r="A246" s="118" t="s">
        <v>965</v>
      </c>
      <c r="B246" s="88" t="s">
        <v>966</v>
      </c>
      <c r="C246" s="119" t="s">
        <v>23</v>
      </c>
      <c r="D246" s="119">
        <v>1</v>
      </c>
      <c r="E246" s="120" t="s">
        <v>880</v>
      </c>
      <c r="F246" s="20" t="s">
        <v>25</v>
      </c>
      <c r="G246" s="143">
        <v>13500</v>
      </c>
      <c r="H246" s="119" t="s">
        <v>749</v>
      </c>
      <c r="I246" s="162"/>
      <c r="J246" s="162"/>
      <c r="K246" s="162"/>
      <c r="L246" s="162"/>
      <c r="M246" s="162"/>
      <c r="N246" s="162"/>
      <c r="O246" s="122" t="s">
        <v>664</v>
      </c>
      <c r="P246" s="22"/>
      <c r="Q246" s="83">
        <f t="shared" si="3"/>
        <v>2021</v>
      </c>
      <c r="R246" s="106"/>
    </row>
    <row r="247" spans="1:18" ht="14.5" hidden="1" customHeight="1" x14ac:dyDescent="0.35">
      <c r="A247" s="123" t="s">
        <v>967</v>
      </c>
      <c r="B247" s="124" t="s">
        <v>968</v>
      </c>
      <c r="C247" s="121" t="s">
        <v>37</v>
      </c>
      <c r="D247" s="121">
        <v>1</v>
      </c>
      <c r="E247" s="120" t="s">
        <v>969</v>
      </c>
      <c r="F247" s="20" t="s">
        <v>25</v>
      </c>
      <c r="G247" s="143">
        <v>48000</v>
      </c>
      <c r="H247" s="121" t="s">
        <v>730</v>
      </c>
      <c r="I247" s="122" t="s">
        <v>27</v>
      </c>
      <c r="J247" s="122" t="s">
        <v>27</v>
      </c>
      <c r="K247" s="122" t="s">
        <v>27</v>
      </c>
      <c r="L247" s="122" t="s">
        <v>27</v>
      </c>
      <c r="M247" s="122" t="s">
        <v>27</v>
      </c>
      <c r="N247" s="122" t="s">
        <v>27</v>
      </c>
      <c r="O247" s="122" t="s">
        <v>709</v>
      </c>
      <c r="P247" s="116"/>
      <c r="Q247" s="83">
        <f t="shared" si="3"/>
        <v>2021</v>
      </c>
      <c r="R247" s="106"/>
    </row>
    <row r="248" spans="1:18" ht="14.5" hidden="1" customHeight="1" x14ac:dyDescent="0.35">
      <c r="A248" s="123" t="s">
        <v>967</v>
      </c>
      <c r="B248" s="124" t="s">
        <v>968</v>
      </c>
      <c r="C248" s="121" t="s">
        <v>37</v>
      </c>
      <c r="D248" s="121">
        <v>2</v>
      </c>
      <c r="E248" s="120" t="s">
        <v>970</v>
      </c>
      <c r="F248" s="20" t="s">
        <v>25</v>
      </c>
      <c r="G248" s="143">
        <v>24000</v>
      </c>
      <c r="H248" s="121" t="s">
        <v>726</v>
      </c>
      <c r="I248" s="122" t="s">
        <v>27</v>
      </c>
      <c r="J248" s="122" t="s">
        <v>27</v>
      </c>
      <c r="K248" s="122" t="s">
        <v>27</v>
      </c>
      <c r="L248" s="122" t="s">
        <v>27</v>
      </c>
      <c r="M248" s="122" t="s">
        <v>27</v>
      </c>
      <c r="N248" s="122" t="s">
        <v>27</v>
      </c>
      <c r="O248" s="122" t="s">
        <v>745</v>
      </c>
      <c r="P248" s="116"/>
      <c r="Q248" s="83">
        <f t="shared" si="3"/>
        <v>2021</v>
      </c>
      <c r="R248" s="106"/>
    </row>
    <row r="249" spans="1:18" ht="14.5" hidden="1" customHeight="1" x14ac:dyDescent="0.35">
      <c r="A249" s="123" t="s">
        <v>967</v>
      </c>
      <c r="B249" s="124" t="s">
        <v>968</v>
      </c>
      <c r="C249" s="121" t="s">
        <v>37</v>
      </c>
      <c r="D249" s="121">
        <v>3</v>
      </c>
      <c r="E249" s="120" t="s">
        <v>971</v>
      </c>
      <c r="F249" s="20" t="s">
        <v>25</v>
      </c>
      <c r="G249" s="143">
        <v>28000</v>
      </c>
      <c r="H249" s="121" t="s">
        <v>663</v>
      </c>
      <c r="I249" s="162"/>
      <c r="J249" s="162"/>
      <c r="K249" s="162"/>
      <c r="L249" s="162"/>
      <c r="M249" s="162"/>
      <c r="N249" s="162"/>
      <c r="O249" s="122" t="s">
        <v>664</v>
      </c>
      <c r="P249" s="22"/>
      <c r="Q249" s="83">
        <f t="shared" si="3"/>
        <v>2021</v>
      </c>
      <c r="R249" s="106"/>
    </row>
    <row r="250" spans="1:18" ht="14.5" hidden="1" customHeight="1" x14ac:dyDescent="0.35">
      <c r="A250" s="123" t="s">
        <v>967</v>
      </c>
      <c r="B250" s="124" t="s">
        <v>968</v>
      </c>
      <c r="C250" s="121" t="s">
        <v>37</v>
      </c>
      <c r="D250" s="119">
        <v>0</v>
      </c>
      <c r="E250" s="120" t="s">
        <v>971</v>
      </c>
      <c r="F250" s="20" t="s">
        <v>25</v>
      </c>
      <c r="G250" s="143">
        <v>25000</v>
      </c>
      <c r="H250" s="121" t="s">
        <v>663</v>
      </c>
      <c r="I250" s="162"/>
      <c r="J250" s="162"/>
      <c r="K250" s="162"/>
      <c r="L250" s="162"/>
      <c r="M250" s="162"/>
      <c r="N250" s="162"/>
      <c r="O250" s="122" t="s">
        <v>664</v>
      </c>
      <c r="P250" s="22"/>
      <c r="Q250" s="83">
        <f t="shared" si="3"/>
        <v>2021</v>
      </c>
      <c r="R250" s="106"/>
    </row>
    <row r="251" spans="1:18" ht="14.5" hidden="1" customHeight="1" x14ac:dyDescent="0.35">
      <c r="A251" s="123" t="s">
        <v>967</v>
      </c>
      <c r="B251" s="124" t="s">
        <v>968</v>
      </c>
      <c r="C251" s="121" t="s">
        <v>37</v>
      </c>
      <c r="D251" s="121" t="s">
        <v>671</v>
      </c>
      <c r="E251" s="120" t="s">
        <v>971</v>
      </c>
      <c r="F251" s="20" t="s">
        <v>25</v>
      </c>
      <c r="G251" s="143">
        <v>28000</v>
      </c>
      <c r="H251" s="121" t="s">
        <v>781</v>
      </c>
      <c r="I251" s="122" t="s">
        <v>27</v>
      </c>
      <c r="J251" s="122" t="s">
        <v>27</v>
      </c>
      <c r="K251" s="122" t="s">
        <v>27</v>
      </c>
      <c r="L251" s="122" t="s">
        <v>27</v>
      </c>
      <c r="M251" s="122" t="s">
        <v>27</v>
      </c>
      <c r="N251" s="122" t="s">
        <v>27</v>
      </c>
      <c r="O251" s="122" t="s">
        <v>709</v>
      </c>
      <c r="P251" s="116"/>
      <c r="Q251" s="83">
        <f t="shared" si="3"/>
        <v>2021</v>
      </c>
      <c r="R251" s="106"/>
    </row>
    <row r="252" spans="1:18" ht="14.5" hidden="1" customHeight="1" x14ac:dyDescent="0.35">
      <c r="A252" s="123" t="s">
        <v>967</v>
      </c>
      <c r="B252" s="124" t="s">
        <v>968</v>
      </c>
      <c r="C252" s="121" t="s">
        <v>37</v>
      </c>
      <c r="D252" s="121">
        <v>4</v>
      </c>
      <c r="E252" s="120" t="s">
        <v>972</v>
      </c>
      <c r="F252" s="20" t="s">
        <v>25</v>
      </c>
      <c r="G252" s="143">
        <v>13000</v>
      </c>
      <c r="H252" s="121" t="s">
        <v>730</v>
      </c>
      <c r="I252" s="122" t="s">
        <v>27</v>
      </c>
      <c r="J252" s="122" t="s">
        <v>27</v>
      </c>
      <c r="K252" s="122" t="s">
        <v>27</v>
      </c>
      <c r="L252" s="122" t="s">
        <v>27</v>
      </c>
      <c r="M252" s="122" t="s">
        <v>27</v>
      </c>
      <c r="N252" s="122" t="s">
        <v>27</v>
      </c>
      <c r="O252" s="122" t="s">
        <v>709</v>
      </c>
      <c r="P252" s="116"/>
      <c r="Q252" s="83">
        <f t="shared" si="3"/>
        <v>2021</v>
      </c>
      <c r="R252" s="106"/>
    </row>
    <row r="253" spans="1:18" ht="14.5" hidden="1" customHeight="1" x14ac:dyDescent="0.35">
      <c r="A253" s="123" t="s">
        <v>967</v>
      </c>
      <c r="B253" s="124" t="s">
        <v>968</v>
      </c>
      <c r="C253" s="121" t="s">
        <v>37</v>
      </c>
      <c r="D253" s="121">
        <v>5</v>
      </c>
      <c r="E253" s="120" t="s">
        <v>894</v>
      </c>
      <c r="F253" s="20" t="s">
        <v>25</v>
      </c>
      <c r="G253" s="143">
        <v>150000</v>
      </c>
      <c r="H253" s="121" t="s">
        <v>726</v>
      </c>
      <c r="I253" s="122" t="s">
        <v>27</v>
      </c>
      <c r="J253" s="122" t="s">
        <v>27</v>
      </c>
      <c r="K253" s="122" t="s">
        <v>27</v>
      </c>
      <c r="L253" s="122" t="s">
        <v>27</v>
      </c>
      <c r="M253" s="122" t="s">
        <v>27</v>
      </c>
      <c r="N253" s="122" t="s">
        <v>27</v>
      </c>
      <c r="O253" s="122" t="s">
        <v>745</v>
      </c>
      <c r="P253" s="116"/>
      <c r="Q253" s="83">
        <f t="shared" si="3"/>
        <v>2021</v>
      </c>
      <c r="R253" s="106"/>
    </row>
    <row r="254" spans="1:18" ht="14.5" hidden="1" customHeight="1" x14ac:dyDescent="0.35">
      <c r="A254" s="123" t="s">
        <v>967</v>
      </c>
      <c r="B254" s="124" t="s">
        <v>968</v>
      </c>
      <c r="C254" s="121" t="s">
        <v>37</v>
      </c>
      <c r="D254" s="121">
        <v>6</v>
      </c>
      <c r="E254" s="120" t="s">
        <v>973</v>
      </c>
      <c r="F254" s="20" t="s">
        <v>25</v>
      </c>
      <c r="G254" s="143">
        <v>19000</v>
      </c>
      <c r="H254" s="121" t="s">
        <v>726</v>
      </c>
      <c r="I254" s="122" t="s">
        <v>27</v>
      </c>
      <c r="J254" s="122" t="s">
        <v>27</v>
      </c>
      <c r="K254" s="122" t="s">
        <v>27</v>
      </c>
      <c r="L254" s="122" t="s">
        <v>27</v>
      </c>
      <c r="M254" s="122" t="s">
        <v>27</v>
      </c>
      <c r="N254" s="122" t="s">
        <v>27</v>
      </c>
      <c r="O254" s="122" t="s">
        <v>745</v>
      </c>
      <c r="P254" s="116"/>
      <c r="Q254" s="83">
        <f t="shared" si="3"/>
        <v>2021</v>
      </c>
      <c r="R254" s="106"/>
    </row>
    <row r="255" spans="1:18" ht="14.5" hidden="1" customHeight="1" x14ac:dyDescent="0.35">
      <c r="A255" s="123" t="s">
        <v>967</v>
      </c>
      <c r="B255" s="124" t="s">
        <v>968</v>
      </c>
      <c r="C255" s="121" t="s">
        <v>37</v>
      </c>
      <c r="D255" s="121">
        <v>7</v>
      </c>
      <c r="E255" s="120" t="s">
        <v>974</v>
      </c>
      <c r="F255" s="20" t="s">
        <v>25</v>
      </c>
      <c r="G255" s="143">
        <v>28000</v>
      </c>
      <c r="H255" s="121" t="s">
        <v>726</v>
      </c>
      <c r="I255" s="122" t="s">
        <v>27</v>
      </c>
      <c r="J255" s="122" t="s">
        <v>27</v>
      </c>
      <c r="K255" s="122" t="s">
        <v>27</v>
      </c>
      <c r="L255" s="122" t="s">
        <v>27</v>
      </c>
      <c r="M255" s="122" t="s">
        <v>27</v>
      </c>
      <c r="N255" s="122" t="s">
        <v>27</v>
      </c>
      <c r="O255" s="122" t="s">
        <v>745</v>
      </c>
      <c r="P255" s="116"/>
      <c r="Q255" s="83">
        <f t="shared" si="3"/>
        <v>2021</v>
      </c>
      <c r="R255" s="106"/>
    </row>
    <row r="256" spans="1:18" ht="14.5" hidden="1" customHeight="1" x14ac:dyDescent="0.35">
      <c r="A256" s="123" t="s">
        <v>967</v>
      </c>
      <c r="B256" s="124" t="s">
        <v>968</v>
      </c>
      <c r="C256" s="121" t="s">
        <v>37</v>
      </c>
      <c r="D256" s="121">
        <v>9</v>
      </c>
      <c r="E256" s="120" t="s">
        <v>975</v>
      </c>
      <c r="F256" s="20" t="s">
        <v>25</v>
      </c>
      <c r="G256" s="143">
        <v>10000</v>
      </c>
      <c r="H256" s="121" t="s">
        <v>749</v>
      </c>
      <c r="I256" s="162"/>
      <c r="J256" s="162"/>
      <c r="K256" s="162"/>
      <c r="L256" s="162"/>
      <c r="M256" s="162"/>
      <c r="N256" s="162"/>
      <c r="O256" s="122" t="s">
        <v>664</v>
      </c>
      <c r="P256" s="22"/>
      <c r="Q256" s="83">
        <f t="shared" si="3"/>
        <v>2021</v>
      </c>
      <c r="R256" s="106"/>
    </row>
    <row r="257" spans="1:18" ht="14.5" hidden="1" customHeight="1" x14ac:dyDescent="0.35">
      <c r="A257" s="123" t="s">
        <v>967</v>
      </c>
      <c r="B257" s="124" t="s">
        <v>968</v>
      </c>
      <c r="C257" s="121" t="s">
        <v>37</v>
      </c>
      <c r="D257" s="121">
        <v>10</v>
      </c>
      <c r="E257" s="120" t="s">
        <v>976</v>
      </c>
      <c r="F257" s="20" t="s">
        <v>25</v>
      </c>
      <c r="G257" s="143">
        <v>20000</v>
      </c>
      <c r="H257" s="121" t="s">
        <v>726</v>
      </c>
      <c r="I257" s="122" t="s">
        <v>27</v>
      </c>
      <c r="J257" s="122" t="s">
        <v>27</v>
      </c>
      <c r="K257" s="122" t="s">
        <v>27</v>
      </c>
      <c r="L257" s="122" t="s">
        <v>27</v>
      </c>
      <c r="M257" s="122" t="s">
        <v>27</v>
      </c>
      <c r="N257" s="122" t="s">
        <v>27</v>
      </c>
      <c r="O257" s="122" t="s">
        <v>745</v>
      </c>
      <c r="P257" s="116"/>
      <c r="Q257" s="83">
        <f t="shared" si="3"/>
        <v>2021</v>
      </c>
      <c r="R257" s="106"/>
    </row>
    <row r="258" spans="1:18" ht="14.5" hidden="1" customHeight="1" x14ac:dyDescent="0.35">
      <c r="A258" s="123" t="s">
        <v>967</v>
      </c>
      <c r="B258" s="124" t="s">
        <v>968</v>
      </c>
      <c r="C258" s="121" t="s">
        <v>37</v>
      </c>
      <c r="D258" s="121">
        <v>11</v>
      </c>
      <c r="E258" s="120" t="s">
        <v>977</v>
      </c>
      <c r="F258" s="20" t="s">
        <v>25</v>
      </c>
      <c r="G258" s="143">
        <v>10000</v>
      </c>
      <c r="H258" s="121" t="s">
        <v>749</v>
      </c>
      <c r="I258" s="162"/>
      <c r="J258" s="162"/>
      <c r="K258" s="162"/>
      <c r="L258" s="162"/>
      <c r="M258" s="162"/>
      <c r="N258" s="162"/>
      <c r="O258" s="122" t="s">
        <v>664</v>
      </c>
      <c r="P258" s="22"/>
      <c r="Q258" s="83">
        <f t="shared" si="3"/>
        <v>2021</v>
      </c>
      <c r="R258" s="106"/>
    </row>
    <row r="259" spans="1:18" ht="14.5" customHeight="1" x14ac:dyDescent="0.35">
      <c r="A259" s="123" t="s">
        <v>967</v>
      </c>
      <c r="B259" s="124" t="s">
        <v>968</v>
      </c>
      <c r="C259" s="121" t="s">
        <v>37</v>
      </c>
      <c r="D259" s="121">
        <v>12</v>
      </c>
      <c r="E259" s="120" t="s">
        <v>894</v>
      </c>
      <c r="F259" s="20" t="s">
        <v>25</v>
      </c>
      <c r="G259" s="143">
        <v>200000</v>
      </c>
      <c r="H259" s="121" t="s">
        <v>781</v>
      </c>
      <c r="I259" s="122" t="s">
        <v>27</v>
      </c>
      <c r="J259" s="122" t="s">
        <v>27</v>
      </c>
      <c r="K259" s="122" t="s">
        <v>27</v>
      </c>
      <c r="L259" s="6" t="s">
        <v>28</v>
      </c>
      <c r="M259" s="122"/>
      <c r="N259" s="122"/>
      <c r="O259" s="122" t="s">
        <v>756</v>
      </c>
      <c r="P259" s="116" t="s">
        <v>871</v>
      </c>
      <c r="Q259" s="83">
        <f t="shared" ref="Q259:Q322" si="4">IFERROR(2000+VALUE(LEFT(A259,2)),"")</f>
        <v>2021</v>
      </c>
      <c r="R259" s="125">
        <v>45740</v>
      </c>
    </row>
    <row r="260" spans="1:18" ht="14.5" hidden="1" customHeight="1" x14ac:dyDescent="0.35">
      <c r="A260" s="123" t="s">
        <v>978</v>
      </c>
      <c r="B260" s="124" t="s">
        <v>979</v>
      </c>
      <c r="C260" s="121" t="s">
        <v>37</v>
      </c>
      <c r="D260" s="121">
        <v>1</v>
      </c>
      <c r="E260" s="120" t="s">
        <v>980</v>
      </c>
      <c r="F260" s="20" t="s">
        <v>25</v>
      </c>
      <c r="G260" s="143">
        <v>25000</v>
      </c>
      <c r="H260" s="121" t="s">
        <v>663</v>
      </c>
      <c r="I260" s="162"/>
      <c r="J260" s="162"/>
      <c r="K260" s="162"/>
      <c r="L260" s="162"/>
      <c r="M260" s="162"/>
      <c r="N260" s="162"/>
      <c r="O260" s="122" t="s">
        <v>664</v>
      </c>
      <c r="P260" s="22"/>
      <c r="Q260" s="83">
        <f t="shared" si="4"/>
        <v>2021</v>
      </c>
      <c r="R260" s="106"/>
    </row>
    <row r="261" spans="1:18" ht="14.5" hidden="1" customHeight="1" x14ac:dyDescent="0.35">
      <c r="A261" s="123" t="s">
        <v>978</v>
      </c>
      <c r="B261" s="124" t="s">
        <v>979</v>
      </c>
      <c r="C261" s="121" t="s">
        <v>37</v>
      </c>
      <c r="D261" s="121" t="s">
        <v>667</v>
      </c>
      <c r="E261" s="120" t="s">
        <v>981</v>
      </c>
      <c r="F261" s="6" t="s">
        <v>25</v>
      </c>
      <c r="G261" s="143">
        <v>15000</v>
      </c>
      <c r="H261" s="121" t="s">
        <v>726</v>
      </c>
      <c r="I261" s="122" t="s">
        <v>27</v>
      </c>
      <c r="J261" s="122" t="s">
        <v>27</v>
      </c>
      <c r="K261" s="122" t="s">
        <v>27</v>
      </c>
      <c r="L261" s="122" t="s">
        <v>27</v>
      </c>
      <c r="M261" s="122" t="s">
        <v>27</v>
      </c>
      <c r="N261" s="122" t="s">
        <v>27</v>
      </c>
      <c r="O261" s="122" t="s">
        <v>745</v>
      </c>
      <c r="P261" s="116"/>
      <c r="Q261" s="83">
        <f t="shared" si="4"/>
        <v>2021</v>
      </c>
      <c r="R261" s="106"/>
    </row>
    <row r="262" spans="1:18" ht="14.5" hidden="1" customHeight="1" x14ac:dyDescent="0.35">
      <c r="A262" s="123" t="s">
        <v>982</v>
      </c>
      <c r="B262" s="124" t="s">
        <v>983</v>
      </c>
      <c r="C262" s="121" t="s">
        <v>42</v>
      </c>
      <c r="D262" s="121">
        <v>1</v>
      </c>
      <c r="E262" s="120" t="s">
        <v>984</v>
      </c>
      <c r="F262" s="6" t="s">
        <v>25</v>
      </c>
      <c r="G262" s="143">
        <v>9120</v>
      </c>
      <c r="H262" s="121" t="s">
        <v>726</v>
      </c>
      <c r="I262" s="122" t="s">
        <v>27</v>
      </c>
      <c r="J262" s="122" t="s">
        <v>27</v>
      </c>
      <c r="K262" s="122" t="s">
        <v>27</v>
      </c>
      <c r="L262" s="122" t="s">
        <v>27</v>
      </c>
      <c r="M262" s="122" t="s">
        <v>27</v>
      </c>
      <c r="N262" s="122" t="s">
        <v>27</v>
      </c>
      <c r="O262" s="122" t="s">
        <v>709</v>
      </c>
      <c r="P262" s="22"/>
      <c r="Q262" s="83">
        <f t="shared" si="4"/>
        <v>2021</v>
      </c>
      <c r="R262" s="106"/>
    </row>
    <row r="263" spans="1:18" ht="14.5" hidden="1" customHeight="1" x14ac:dyDescent="0.35">
      <c r="A263" s="123" t="s">
        <v>982</v>
      </c>
      <c r="B263" s="124" t="s">
        <v>985</v>
      </c>
      <c r="C263" s="121" t="s">
        <v>42</v>
      </c>
      <c r="D263" s="121">
        <v>2</v>
      </c>
      <c r="E263" s="120" t="s">
        <v>986</v>
      </c>
      <c r="F263" s="6" t="s">
        <v>25</v>
      </c>
      <c r="G263" s="143">
        <v>75000</v>
      </c>
      <c r="H263" s="121" t="s">
        <v>749</v>
      </c>
      <c r="I263" s="162"/>
      <c r="J263" s="162"/>
      <c r="K263" s="162"/>
      <c r="L263" s="162"/>
      <c r="M263" s="162"/>
      <c r="N263" s="162"/>
      <c r="O263" s="122" t="s">
        <v>664</v>
      </c>
      <c r="P263" s="22"/>
      <c r="Q263" s="83">
        <f t="shared" si="4"/>
        <v>2021</v>
      </c>
      <c r="R263" s="106"/>
    </row>
    <row r="264" spans="1:18" ht="14.5" hidden="1" customHeight="1" x14ac:dyDescent="0.35">
      <c r="A264" s="123" t="s">
        <v>987</v>
      </c>
      <c r="B264" s="124" t="s">
        <v>988</v>
      </c>
      <c r="C264" s="121" t="s">
        <v>37</v>
      </c>
      <c r="D264" s="121">
        <v>1</v>
      </c>
      <c r="E264" s="120" t="s">
        <v>989</v>
      </c>
      <c r="F264" s="20" t="s">
        <v>25</v>
      </c>
      <c r="G264" s="143">
        <v>20100</v>
      </c>
      <c r="H264" s="121" t="s">
        <v>663</v>
      </c>
      <c r="I264" s="162"/>
      <c r="J264" s="162"/>
      <c r="K264" s="162"/>
      <c r="L264" s="162"/>
      <c r="M264" s="162"/>
      <c r="N264" s="162"/>
      <c r="O264" s="122" t="s">
        <v>664</v>
      </c>
      <c r="P264" s="22"/>
      <c r="Q264" s="83">
        <f t="shared" si="4"/>
        <v>2022</v>
      </c>
      <c r="R264" s="106"/>
    </row>
    <row r="265" spans="1:18" ht="14.5" hidden="1" customHeight="1" x14ac:dyDescent="0.35">
      <c r="A265" s="123" t="s">
        <v>987</v>
      </c>
      <c r="B265" s="124" t="s">
        <v>988</v>
      </c>
      <c r="C265" s="121" t="s">
        <v>37</v>
      </c>
      <c r="D265" s="121" t="s">
        <v>667</v>
      </c>
      <c r="E265" s="120" t="s">
        <v>989</v>
      </c>
      <c r="F265" s="20" t="s">
        <v>25</v>
      </c>
      <c r="G265" s="143">
        <v>15750</v>
      </c>
      <c r="H265" s="121" t="s">
        <v>726</v>
      </c>
      <c r="I265" s="122" t="s">
        <v>27</v>
      </c>
      <c r="J265" s="122" t="s">
        <v>27</v>
      </c>
      <c r="K265" s="122" t="s">
        <v>27</v>
      </c>
      <c r="L265" s="122" t="s">
        <v>27</v>
      </c>
      <c r="M265" s="122" t="s">
        <v>27</v>
      </c>
      <c r="N265" s="122" t="s">
        <v>27</v>
      </c>
      <c r="O265" s="122" t="s">
        <v>709</v>
      </c>
      <c r="P265" s="116"/>
      <c r="Q265" s="83">
        <f t="shared" si="4"/>
        <v>2022</v>
      </c>
      <c r="R265" s="106"/>
    </row>
    <row r="266" spans="1:18" ht="14.5" hidden="1" customHeight="1" x14ac:dyDescent="0.35">
      <c r="A266" s="123" t="s">
        <v>987</v>
      </c>
      <c r="B266" s="124" t="s">
        <v>988</v>
      </c>
      <c r="C266" s="121" t="s">
        <v>37</v>
      </c>
      <c r="D266" s="121">
        <v>2</v>
      </c>
      <c r="E266" s="120" t="s">
        <v>990</v>
      </c>
      <c r="F266" s="20" t="s">
        <v>25</v>
      </c>
      <c r="G266" s="143">
        <v>30000</v>
      </c>
      <c r="H266" s="121" t="s">
        <v>730</v>
      </c>
      <c r="I266" s="122" t="s">
        <v>27</v>
      </c>
      <c r="J266" s="122" t="s">
        <v>27</v>
      </c>
      <c r="K266" s="122" t="s">
        <v>27</v>
      </c>
      <c r="L266" s="122" t="s">
        <v>27</v>
      </c>
      <c r="M266" s="122" t="s">
        <v>27</v>
      </c>
      <c r="N266" s="122" t="s">
        <v>27</v>
      </c>
      <c r="O266" s="122" t="s">
        <v>709</v>
      </c>
      <c r="P266" s="116"/>
      <c r="Q266" s="83">
        <f t="shared" si="4"/>
        <v>2022</v>
      </c>
      <c r="R266" s="106"/>
    </row>
    <row r="267" spans="1:18" ht="14.5" hidden="1" customHeight="1" x14ac:dyDescent="0.35">
      <c r="A267" s="123" t="s">
        <v>987</v>
      </c>
      <c r="B267" s="124" t="s">
        <v>988</v>
      </c>
      <c r="C267" s="121" t="s">
        <v>37</v>
      </c>
      <c r="D267" s="121">
        <v>3</v>
      </c>
      <c r="E267" s="120" t="s">
        <v>905</v>
      </c>
      <c r="F267" s="20" t="s">
        <v>25</v>
      </c>
      <c r="G267" s="143">
        <v>225000</v>
      </c>
      <c r="H267" s="121" t="s">
        <v>730</v>
      </c>
      <c r="I267" s="122" t="s">
        <v>27</v>
      </c>
      <c r="J267" s="122" t="s">
        <v>27</v>
      </c>
      <c r="K267" s="122" t="s">
        <v>27</v>
      </c>
      <c r="L267" s="122" t="s">
        <v>27</v>
      </c>
      <c r="M267" s="122" t="s">
        <v>27</v>
      </c>
      <c r="N267" s="122" t="s">
        <v>27</v>
      </c>
      <c r="O267" s="122" t="s">
        <v>709</v>
      </c>
      <c r="P267" s="116"/>
      <c r="Q267" s="83">
        <f t="shared" si="4"/>
        <v>2022</v>
      </c>
      <c r="R267" s="106"/>
    </row>
    <row r="268" spans="1:18" ht="14.5" hidden="1" customHeight="1" x14ac:dyDescent="0.35">
      <c r="A268" s="123" t="s">
        <v>987</v>
      </c>
      <c r="B268" s="124" t="s">
        <v>988</v>
      </c>
      <c r="C268" s="121" t="s">
        <v>37</v>
      </c>
      <c r="D268" s="121">
        <v>4</v>
      </c>
      <c r="E268" s="120" t="s">
        <v>991</v>
      </c>
      <c r="F268" s="20" t="s">
        <v>25</v>
      </c>
      <c r="G268" s="143">
        <v>9000</v>
      </c>
      <c r="H268" s="121" t="s">
        <v>730</v>
      </c>
      <c r="I268" s="122" t="s">
        <v>27</v>
      </c>
      <c r="J268" s="122" t="s">
        <v>27</v>
      </c>
      <c r="K268" s="122" t="s">
        <v>27</v>
      </c>
      <c r="L268" s="122" t="s">
        <v>27</v>
      </c>
      <c r="M268" s="122" t="s">
        <v>27</v>
      </c>
      <c r="N268" s="122" t="s">
        <v>27</v>
      </c>
      <c r="O268" s="122" t="s">
        <v>709</v>
      </c>
      <c r="P268" s="116"/>
      <c r="Q268" s="83">
        <f t="shared" si="4"/>
        <v>2022</v>
      </c>
      <c r="R268" s="106"/>
    </row>
    <row r="269" spans="1:18" ht="14.5" hidden="1" customHeight="1" x14ac:dyDescent="0.35">
      <c r="A269" s="123" t="s">
        <v>987</v>
      </c>
      <c r="B269" s="124" t="s">
        <v>988</v>
      </c>
      <c r="C269" s="121" t="s">
        <v>37</v>
      </c>
      <c r="D269" s="121">
        <v>5</v>
      </c>
      <c r="E269" s="120" t="s">
        <v>896</v>
      </c>
      <c r="F269" s="20" t="s">
        <v>25</v>
      </c>
      <c r="G269" s="143">
        <v>236250</v>
      </c>
      <c r="H269" s="121" t="s">
        <v>730</v>
      </c>
      <c r="I269" s="122" t="s">
        <v>27</v>
      </c>
      <c r="J269" s="122" t="s">
        <v>27</v>
      </c>
      <c r="K269" s="122" t="s">
        <v>27</v>
      </c>
      <c r="L269" s="122" t="s">
        <v>27</v>
      </c>
      <c r="M269" s="122" t="s">
        <v>27</v>
      </c>
      <c r="N269" s="122" t="s">
        <v>27</v>
      </c>
      <c r="O269" s="122" t="s">
        <v>709</v>
      </c>
      <c r="P269" s="116"/>
      <c r="Q269" s="83">
        <f t="shared" si="4"/>
        <v>2022</v>
      </c>
      <c r="R269" s="106"/>
    </row>
    <row r="270" spans="1:18" ht="14.5" hidden="1" customHeight="1" x14ac:dyDescent="0.35">
      <c r="A270" s="118" t="s">
        <v>992</v>
      </c>
      <c r="B270" s="88" t="s">
        <v>640</v>
      </c>
      <c r="C270" s="119" t="s">
        <v>23</v>
      </c>
      <c r="D270" s="119">
        <v>1</v>
      </c>
      <c r="E270" s="120" t="s">
        <v>801</v>
      </c>
      <c r="F270" s="20" t="s">
        <v>25</v>
      </c>
      <c r="G270" s="143">
        <v>23755</v>
      </c>
      <c r="H270" s="119" t="s">
        <v>709</v>
      </c>
      <c r="I270" s="122" t="s">
        <v>27</v>
      </c>
      <c r="J270" s="122" t="s">
        <v>27</v>
      </c>
      <c r="K270" s="122" t="s">
        <v>27</v>
      </c>
      <c r="L270" s="122" t="s">
        <v>27</v>
      </c>
      <c r="M270" s="122" t="s">
        <v>27</v>
      </c>
      <c r="N270" s="122" t="s">
        <v>27</v>
      </c>
      <c r="O270" s="122" t="s">
        <v>709</v>
      </c>
      <c r="P270" s="22" t="s">
        <v>710</v>
      </c>
      <c r="Q270" s="83">
        <f t="shared" si="4"/>
        <v>2022</v>
      </c>
      <c r="R270" s="106"/>
    </row>
    <row r="271" spans="1:18" ht="14.5" hidden="1" customHeight="1" x14ac:dyDescent="0.35">
      <c r="A271" s="118" t="s">
        <v>992</v>
      </c>
      <c r="B271" s="88" t="s">
        <v>640</v>
      </c>
      <c r="C271" s="119" t="s">
        <v>23</v>
      </c>
      <c r="D271" s="119">
        <v>2</v>
      </c>
      <c r="E271" s="120" t="s">
        <v>993</v>
      </c>
      <c r="F271" s="20" t="s">
        <v>25</v>
      </c>
      <c r="G271" s="143">
        <v>12050</v>
      </c>
      <c r="H271" s="119" t="s">
        <v>709</v>
      </c>
      <c r="I271" s="122" t="s">
        <v>27</v>
      </c>
      <c r="J271" s="122" t="s">
        <v>27</v>
      </c>
      <c r="K271" s="122" t="s">
        <v>27</v>
      </c>
      <c r="L271" s="122" t="s">
        <v>27</v>
      </c>
      <c r="M271" s="122" t="s">
        <v>27</v>
      </c>
      <c r="N271" s="122" t="s">
        <v>27</v>
      </c>
      <c r="O271" s="122" t="s">
        <v>709</v>
      </c>
      <c r="P271" s="22" t="s">
        <v>710</v>
      </c>
      <c r="Q271" s="83">
        <f t="shared" si="4"/>
        <v>2022</v>
      </c>
      <c r="R271" s="106"/>
    </row>
    <row r="272" spans="1:18" ht="14.5" customHeight="1" x14ac:dyDescent="0.35">
      <c r="A272" s="118" t="s">
        <v>992</v>
      </c>
      <c r="B272" s="88" t="s">
        <v>640</v>
      </c>
      <c r="C272" s="119" t="s">
        <v>23</v>
      </c>
      <c r="D272" s="119">
        <v>3</v>
      </c>
      <c r="E272" s="120" t="s">
        <v>994</v>
      </c>
      <c r="F272" s="20" t="s">
        <v>25</v>
      </c>
      <c r="G272" s="143">
        <v>234000</v>
      </c>
      <c r="H272" s="119" t="s">
        <v>730</v>
      </c>
      <c r="I272" s="163" t="s">
        <v>27</v>
      </c>
      <c r="J272" s="163" t="s">
        <v>27</v>
      </c>
      <c r="K272" s="163" t="s">
        <v>27</v>
      </c>
      <c r="L272" s="6" t="s">
        <v>28</v>
      </c>
      <c r="M272" s="122"/>
      <c r="N272" s="122"/>
      <c r="O272" s="122" t="s">
        <v>756</v>
      </c>
      <c r="P272" s="164" t="s">
        <v>853</v>
      </c>
      <c r="Q272" s="83">
        <f t="shared" si="4"/>
        <v>2022</v>
      </c>
      <c r="R272" s="127">
        <v>45800</v>
      </c>
    </row>
    <row r="273" spans="1:18" ht="14.5" customHeight="1" x14ac:dyDescent="0.35">
      <c r="A273" s="123" t="s">
        <v>634</v>
      </c>
      <c r="B273" s="124" t="s">
        <v>635</v>
      </c>
      <c r="C273" s="121" t="s">
        <v>42</v>
      </c>
      <c r="D273" s="121">
        <v>2</v>
      </c>
      <c r="E273" s="120" t="s">
        <v>995</v>
      </c>
      <c r="F273" s="20" t="s">
        <v>53</v>
      </c>
      <c r="G273" s="143">
        <v>80568</v>
      </c>
      <c r="H273" s="121" t="s">
        <v>730</v>
      </c>
      <c r="I273" s="163" t="s">
        <v>27</v>
      </c>
      <c r="J273" s="163" t="s">
        <v>27</v>
      </c>
      <c r="K273" s="163" t="s">
        <v>27</v>
      </c>
      <c r="L273" s="6" t="s">
        <v>28</v>
      </c>
      <c r="M273" s="122"/>
      <c r="N273" s="122"/>
      <c r="O273" s="122" t="s">
        <v>756</v>
      </c>
      <c r="P273" s="165" t="s">
        <v>996</v>
      </c>
      <c r="Q273" s="83">
        <f t="shared" si="4"/>
        <v>2022</v>
      </c>
      <c r="R273" s="127">
        <v>45517</v>
      </c>
    </row>
    <row r="274" spans="1:18" ht="14.5" hidden="1" customHeight="1" x14ac:dyDescent="0.35">
      <c r="A274" s="123" t="s">
        <v>632</v>
      </c>
      <c r="B274" s="124" t="s">
        <v>997</v>
      </c>
      <c r="C274" s="121" t="s">
        <v>48</v>
      </c>
      <c r="D274" s="121">
        <v>1</v>
      </c>
      <c r="E274" s="120" t="s">
        <v>998</v>
      </c>
      <c r="F274" s="6" t="s">
        <v>25</v>
      </c>
      <c r="G274" s="143">
        <v>42000</v>
      </c>
      <c r="H274" s="121" t="s">
        <v>726</v>
      </c>
      <c r="I274" s="122" t="s">
        <v>27</v>
      </c>
      <c r="J274" s="122" t="s">
        <v>27</v>
      </c>
      <c r="K274" s="122" t="s">
        <v>27</v>
      </c>
      <c r="L274" s="122" t="s">
        <v>27</v>
      </c>
      <c r="M274" s="122" t="s">
        <v>27</v>
      </c>
      <c r="N274" s="122" t="s">
        <v>27</v>
      </c>
      <c r="O274" s="122" t="s">
        <v>709</v>
      </c>
      <c r="P274" s="22"/>
      <c r="Q274" s="83">
        <f t="shared" si="4"/>
        <v>2022</v>
      </c>
      <c r="R274" s="106"/>
    </row>
    <row r="275" spans="1:18" ht="14.5" customHeight="1" x14ac:dyDescent="0.35">
      <c r="A275" s="118" t="s">
        <v>621</v>
      </c>
      <c r="B275" s="88" t="s">
        <v>622</v>
      </c>
      <c r="C275" s="119" t="s">
        <v>23</v>
      </c>
      <c r="D275" s="119">
        <v>1</v>
      </c>
      <c r="E275" s="120" t="s">
        <v>999</v>
      </c>
      <c r="F275" s="6" t="s">
        <v>77</v>
      </c>
      <c r="G275" s="143">
        <v>80000</v>
      </c>
      <c r="H275" s="119" t="s">
        <v>726</v>
      </c>
      <c r="I275" s="163" t="s">
        <v>27</v>
      </c>
      <c r="J275" s="163" t="s">
        <v>27</v>
      </c>
      <c r="K275" s="163" t="s">
        <v>27</v>
      </c>
      <c r="L275" s="6" t="s">
        <v>28</v>
      </c>
      <c r="M275" s="122"/>
      <c r="N275" s="122"/>
      <c r="O275" s="122" t="s">
        <v>756</v>
      </c>
      <c r="P275" s="164" t="s">
        <v>1000</v>
      </c>
      <c r="Q275" s="83">
        <f t="shared" si="4"/>
        <v>2022</v>
      </c>
      <c r="R275" s="128">
        <v>44932</v>
      </c>
    </row>
    <row r="276" spans="1:18" ht="14.5" hidden="1" customHeight="1" x14ac:dyDescent="0.35">
      <c r="A276" s="118" t="s">
        <v>621</v>
      </c>
      <c r="B276" s="88" t="s">
        <v>622</v>
      </c>
      <c r="C276" s="119" t="s">
        <v>23</v>
      </c>
      <c r="D276" s="119">
        <v>2</v>
      </c>
      <c r="E276" s="120" t="s">
        <v>1001</v>
      </c>
      <c r="F276" s="6" t="s">
        <v>77</v>
      </c>
      <c r="G276" s="143">
        <v>700000</v>
      </c>
      <c r="H276" s="121" t="s">
        <v>663</v>
      </c>
      <c r="I276" s="162"/>
      <c r="J276" s="162"/>
      <c r="K276" s="162"/>
      <c r="L276" s="162"/>
      <c r="M276" s="162"/>
      <c r="N276" s="162"/>
      <c r="O276" s="122" t="s">
        <v>664</v>
      </c>
      <c r="P276" s="22"/>
      <c r="Q276" s="83">
        <f t="shared" si="4"/>
        <v>2022</v>
      </c>
      <c r="R276" s="106"/>
    </row>
    <row r="277" spans="1:18" ht="14.5" customHeight="1" x14ac:dyDescent="0.35">
      <c r="A277" s="118" t="s">
        <v>621</v>
      </c>
      <c r="B277" s="88" t="s">
        <v>622</v>
      </c>
      <c r="C277" s="119" t="s">
        <v>23</v>
      </c>
      <c r="D277" s="119" t="s">
        <v>755</v>
      </c>
      <c r="E277" s="126" t="s">
        <v>1001</v>
      </c>
      <c r="F277" s="20" t="s">
        <v>77</v>
      </c>
      <c r="G277" s="143">
        <v>420000</v>
      </c>
      <c r="H277" s="119" t="s">
        <v>730</v>
      </c>
      <c r="I277" s="129" t="s">
        <v>27</v>
      </c>
      <c r="J277" s="129" t="s">
        <v>27</v>
      </c>
      <c r="K277" s="129" t="s">
        <v>27</v>
      </c>
      <c r="L277" s="6" t="s">
        <v>28</v>
      </c>
      <c r="M277" s="129"/>
      <c r="N277" s="129"/>
      <c r="O277" s="129" t="s">
        <v>756</v>
      </c>
      <c r="P277" s="164" t="s">
        <v>853</v>
      </c>
      <c r="Q277" s="83">
        <f t="shared" si="4"/>
        <v>2022</v>
      </c>
      <c r="R277" s="127">
        <v>45503</v>
      </c>
    </row>
    <row r="278" spans="1:18" ht="14.5" hidden="1" customHeight="1" x14ac:dyDescent="0.35">
      <c r="A278" s="118" t="s">
        <v>619</v>
      </c>
      <c r="B278" s="88" t="s">
        <v>1002</v>
      </c>
      <c r="C278" s="119" t="s">
        <v>23</v>
      </c>
      <c r="D278" s="119">
        <v>1</v>
      </c>
      <c r="E278" s="120" t="s">
        <v>1003</v>
      </c>
      <c r="F278" s="20" t="s">
        <v>44</v>
      </c>
      <c r="G278" s="143">
        <v>55000</v>
      </c>
      <c r="H278" s="119" t="s">
        <v>709</v>
      </c>
      <c r="I278" s="122" t="s">
        <v>27</v>
      </c>
      <c r="J278" s="122" t="s">
        <v>27</v>
      </c>
      <c r="K278" s="122" t="s">
        <v>27</v>
      </c>
      <c r="L278" s="122" t="s">
        <v>27</v>
      </c>
      <c r="M278" s="122" t="s">
        <v>27</v>
      </c>
      <c r="N278" s="122" t="s">
        <v>27</v>
      </c>
      <c r="O278" s="122" t="s">
        <v>709</v>
      </c>
      <c r="P278" s="22" t="s">
        <v>710</v>
      </c>
      <c r="Q278" s="83">
        <f t="shared" si="4"/>
        <v>2022</v>
      </c>
      <c r="R278" s="106"/>
    </row>
    <row r="279" spans="1:18" ht="14.5" hidden="1" customHeight="1" x14ac:dyDescent="0.35">
      <c r="A279" s="123" t="s">
        <v>1004</v>
      </c>
      <c r="B279" s="124" t="s">
        <v>602</v>
      </c>
      <c r="C279" s="121" t="s">
        <v>48</v>
      </c>
      <c r="D279" s="121">
        <v>1</v>
      </c>
      <c r="E279" s="120" t="s">
        <v>1005</v>
      </c>
      <c r="F279" s="20" t="s">
        <v>25</v>
      </c>
      <c r="G279" s="143">
        <v>86000</v>
      </c>
      <c r="H279" s="121" t="s">
        <v>726</v>
      </c>
      <c r="I279" s="122" t="s">
        <v>27</v>
      </c>
      <c r="J279" s="122" t="s">
        <v>27</v>
      </c>
      <c r="K279" s="122" t="s">
        <v>27</v>
      </c>
      <c r="L279" s="122" t="s">
        <v>27</v>
      </c>
      <c r="M279" s="122" t="s">
        <v>27</v>
      </c>
      <c r="N279" s="122" t="s">
        <v>27</v>
      </c>
      <c r="O279" s="122" t="s">
        <v>709</v>
      </c>
      <c r="P279" s="22"/>
      <c r="Q279" s="83">
        <f t="shared" si="4"/>
        <v>2022</v>
      </c>
      <c r="R279" s="106"/>
    </row>
    <row r="280" spans="1:18" ht="14.5" hidden="1" customHeight="1" x14ac:dyDescent="0.35">
      <c r="A280" s="123" t="s">
        <v>1004</v>
      </c>
      <c r="B280" s="124" t="s">
        <v>602</v>
      </c>
      <c r="C280" s="121" t="s">
        <v>48</v>
      </c>
      <c r="D280" s="121">
        <v>2</v>
      </c>
      <c r="E280" s="120" t="s">
        <v>753</v>
      </c>
      <c r="F280" s="20" t="s">
        <v>25</v>
      </c>
      <c r="G280" s="143">
        <v>575000</v>
      </c>
      <c r="H280" s="121" t="s">
        <v>663</v>
      </c>
      <c r="I280" s="162"/>
      <c r="J280" s="162"/>
      <c r="K280" s="162"/>
      <c r="L280" s="162"/>
      <c r="M280" s="162"/>
      <c r="N280" s="162"/>
      <c r="O280" s="122" t="s">
        <v>664</v>
      </c>
      <c r="P280" s="22"/>
      <c r="Q280" s="83">
        <f t="shared" si="4"/>
        <v>2022</v>
      </c>
      <c r="R280" s="106"/>
    </row>
    <row r="281" spans="1:18" ht="14.5" hidden="1" customHeight="1" x14ac:dyDescent="0.35">
      <c r="A281" s="123" t="s">
        <v>1004</v>
      </c>
      <c r="B281" s="124" t="s">
        <v>602</v>
      </c>
      <c r="C281" s="121" t="s">
        <v>48</v>
      </c>
      <c r="D281" s="121" t="s">
        <v>721</v>
      </c>
      <c r="E281" s="120" t="s">
        <v>753</v>
      </c>
      <c r="F281" s="20" t="s">
        <v>25</v>
      </c>
      <c r="G281" s="143">
        <v>527060</v>
      </c>
      <c r="H281" s="121" t="s">
        <v>726</v>
      </c>
      <c r="I281" s="122" t="s">
        <v>27</v>
      </c>
      <c r="J281" s="122" t="s">
        <v>27</v>
      </c>
      <c r="K281" s="122" t="s">
        <v>27</v>
      </c>
      <c r="L281" s="122" t="s">
        <v>27</v>
      </c>
      <c r="M281" s="122" t="s">
        <v>27</v>
      </c>
      <c r="N281" s="122" t="s">
        <v>27</v>
      </c>
      <c r="O281" s="122" t="s">
        <v>709</v>
      </c>
      <c r="P281" s="22"/>
      <c r="Q281" s="83">
        <f t="shared" si="4"/>
        <v>2022</v>
      </c>
      <c r="R281" s="106"/>
    </row>
    <row r="282" spans="1:18" ht="14.5" hidden="1" customHeight="1" x14ac:dyDescent="0.35">
      <c r="A282" s="123" t="s">
        <v>1004</v>
      </c>
      <c r="B282" s="124" t="s">
        <v>602</v>
      </c>
      <c r="C282" s="121" t="s">
        <v>48</v>
      </c>
      <c r="D282" s="121">
        <v>3</v>
      </c>
      <c r="E282" s="120" t="s">
        <v>912</v>
      </c>
      <c r="F282" s="20" t="s">
        <v>25</v>
      </c>
      <c r="G282" s="143">
        <v>12000</v>
      </c>
      <c r="H282" s="121" t="s">
        <v>726</v>
      </c>
      <c r="I282" s="122" t="s">
        <v>27</v>
      </c>
      <c r="J282" s="122" t="s">
        <v>27</v>
      </c>
      <c r="K282" s="122" t="s">
        <v>27</v>
      </c>
      <c r="L282" s="122" t="s">
        <v>27</v>
      </c>
      <c r="M282" s="122" t="s">
        <v>27</v>
      </c>
      <c r="N282" s="122" t="s">
        <v>27</v>
      </c>
      <c r="O282" s="122" t="s">
        <v>709</v>
      </c>
      <c r="P282" s="22"/>
      <c r="Q282" s="83">
        <f t="shared" si="4"/>
        <v>2022</v>
      </c>
      <c r="R282" s="106"/>
    </row>
    <row r="283" spans="1:18" ht="14.5" hidden="1" customHeight="1" x14ac:dyDescent="0.35">
      <c r="A283" s="123" t="s">
        <v>1004</v>
      </c>
      <c r="B283" s="124" t="s">
        <v>602</v>
      </c>
      <c r="C283" s="121" t="s">
        <v>48</v>
      </c>
      <c r="D283" s="121">
        <v>10</v>
      </c>
      <c r="E283" s="120" t="s">
        <v>1006</v>
      </c>
      <c r="F283" s="20" t="s">
        <v>25</v>
      </c>
      <c r="G283" s="143">
        <v>97750</v>
      </c>
      <c r="H283" s="121" t="s">
        <v>726</v>
      </c>
      <c r="I283" s="122" t="s">
        <v>27</v>
      </c>
      <c r="J283" s="122" t="s">
        <v>27</v>
      </c>
      <c r="K283" s="122" t="s">
        <v>27</v>
      </c>
      <c r="L283" s="122" t="s">
        <v>27</v>
      </c>
      <c r="M283" s="122" t="s">
        <v>27</v>
      </c>
      <c r="N283" s="122" t="s">
        <v>27</v>
      </c>
      <c r="O283" s="122" t="s">
        <v>709</v>
      </c>
      <c r="P283" s="22"/>
      <c r="Q283" s="83">
        <f t="shared" si="4"/>
        <v>2022</v>
      </c>
      <c r="R283" s="106"/>
    </row>
    <row r="284" spans="1:18" ht="14.5" hidden="1" customHeight="1" x14ac:dyDescent="0.35">
      <c r="A284" s="123" t="s">
        <v>1007</v>
      </c>
      <c r="B284" s="124" t="s">
        <v>1008</v>
      </c>
      <c r="C284" s="121" t="s">
        <v>48</v>
      </c>
      <c r="D284" s="121">
        <v>1</v>
      </c>
      <c r="E284" s="120" t="s">
        <v>1009</v>
      </c>
      <c r="F284" s="20" t="s">
        <v>25</v>
      </c>
      <c r="G284" s="143">
        <v>66275</v>
      </c>
      <c r="H284" s="121" t="s">
        <v>749</v>
      </c>
      <c r="I284" s="162"/>
      <c r="J284" s="162"/>
      <c r="K284" s="162"/>
      <c r="L284" s="162"/>
      <c r="M284" s="162"/>
      <c r="N284" s="162"/>
      <c r="O284" s="122" t="s">
        <v>664</v>
      </c>
      <c r="P284" s="22"/>
      <c r="Q284" s="83">
        <f t="shared" si="4"/>
        <v>2022</v>
      </c>
      <c r="R284" s="106"/>
    </row>
    <row r="285" spans="1:18" ht="14.5" hidden="1" customHeight="1" x14ac:dyDescent="0.35">
      <c r="A285" s="123" t="s">
        <v>1007</v>
      </c>
      <c r="B285" s="124" t="s">
        <v>1010</v>
      </c>
      <c r="C285" s="121" t="s">
        <v>48</v>
      </c>
      <c r="D285" s="119">
        <v>0</v>
      </c>
      <c r="E285" s="120" t="s">
        <v>1011</v>
      </c>
      <c r="F285" s="20" t="s">
        <v>25</v>
      </c>
      <c r="G285" s="143">
        <v>57200</v>
      </c>
      <c r="H285" s="121" t="s">
        <v>709</v>
      </c>
      <c r="I285" s="122" t="s">
        <v>27</v>
      </c>
      <c r="J285" s="122" t="s">
        <v>27</v>
      </c>
      <c r="K285" s="122" t="s">
        <v>27</v>
      </c>
      <c r="L285" s="122" t="s">
        <v>27</v>
      </c>
      <c r="M285" s="122" t="s">
        <v>27</v>
      </c>
      <c r="N285" s="122" t="s">
        <v>27</v>
      </c>
      <c r="O285" s="122" t="s">
        <v>709</v>
      </c>
      <c r="P285" s="22"/>
      <c r="Q285" s="83">
        <f t="shared" si="4"/>
        <v>2022</v>
      </c>
      <c r="R285" s="106"/>
    </row>
    <row r="286" spans="1:18" ht="14.5" hidden="1" customHeight="1" x14ac:dyDescent="0.35">
      <c r="A286" s="123" t="s">
        <v>1007</v>
      </c>
      <c r="B286" s="124" t="s">
        <v>1010</v>
      </c>
      <c r="C286" s="121" t="s">
        <v>48</v>
      </c>
      <c r="D286" s="121">
        <v>2</v>
      </c>
      <c r="E286" s="120" t="s">
        <v>1012</v>
      </c>
      <c r="F286" s="20" t="s">
        <v>25</v>
      </c>
      <c r="G286" s="143">
        <v>343400</v>
      </c>
      <c r="H286" s="121" t="s">
        <v>749</v>
      </c>
      <c r="I286" s="162"/>
      <c r="J286" s="162"/>
      <c r="K286" s="162"/>
      <c r="L286" s="162"/>
      <c r="M286" s="162"/>
      <c r="N286" s="162"/>
      <c r="O286" s="122" t="s">
        <v>664</v>
      </c>
      <c r="P286" s="22"/>
      <c r="Q286" s="83">
        <f t="shared" si="4"/>
        <v>2022</v>
      </c>
      <c r="R286" s="106"/>
    </row>
    <row r="287" spans="1:18" ht="14.5" hidden="1" customHeight="1" x14ac:dyDescent="0.35">
      <c r="A287" s="123" t="s">
        <v>1007</v>
      </c>
      <c r="B287" s="124" t="s">
        <v>1010</v>
      </c>
      <c r="C287" s="121" t="s">
        <v>48</v>
      </c>
      <c r="D287" s="121">
        <v>3</v>
      </c>
      <c r="E287" s="120" t="s">
        <v>1013</v>
      </c>
      <c r="F287" s="20" t="s">
        <v>25</v>
      </c>
      <c r="G287" s="143">
        <v>370900</v>
      </c>
      <c r="H287" s="121" t="s">
        <v>730</v>
      </c>
      <c r="I287" s="122" t="s">
        <v>27</v>
      </c>
      <c r="J287" s="122" t="s">
        <v>27</v>
      </c>
      <c r="K287" s="122" t="s">
        <v>27</v>
      </c>
      <c r="L287" s="122" t="s">
        <v>27</v>
      </c>
      <c r="M287" s="122" t="s">
        <v>27</v>
      </c>
      <c r="N287" s="122" t="s">
        <v>27</v>
      </c>
      <c r="O287" s="122" t="s">
        <v>709</v>
      </c>
      <c r="P287" s="22" t="s">
        <v>727</v>
      </c>
      <c r="Q287" s="83">
        <f t="shared" si="4"/>
        <v>2022</v>
      </c>
      <c r="R287" s="106"/>
    </row>
    <row r="288" spans="1:18" ht="14.5" hidden="1" customHeight="1" x14ac:dyDescent="0.35">
      <c r="A288" s="123" t="s">
        <v>1007</v>
      </c>
      <c r="B288" s="124" t="s">
        <v>1010</v>
      </c>
      <c r="C288" s="121" t="s">
        <v>48</v>
      </c>
      <c r="D288" s="119">
        <v>0</v>
      </c>
      <c r="E288" s="120" t="s">
        <v>1014</v>
      </c>
      <c r="F288" s="20" t="s">
        <v>25</v>
      </c>
      <c r="G288" s="143">
        <v>300000</v>
      </c>
      <c r="H288" s="121" t="s">
        <v>730</v>
      </c>
      <c r="I288" s="122" t="s">
        <v>27</v>
      </c>
      <c r="J288" s="122" t="s">
        <v>27</v>
      </c>
      <c r="K288" s="122" t="s">
        <v>27</v>
      </c>
      <c r="L288" s="122" t="s">
        <v>27</v>
      </c>
      <c r="M288" s="122" t="s">
        <v>27</v>
      </c>
      <c r="N288" s="122" t="s">
        <v>27</v>
      </c>
      <c r="O288" s="122" t="s">
        <v>709</v>
      </c>
      <c r="P288" s="22" t="s">
        <v>727</v>
      </c>
      <c r="Q288" s="83">
        <f t="shared" si="4"/>
        <v>2022</v>
      </c>
      <c r="R288" s="106"/>
    </row>
    <row r="289" spans="1:18" ht="14.5" hidden="1" customHeight="1" x14ac:dyDescent="0.35">
      <c r="A289" s="123" t="s">
        <v>1007</v>
      </c>
      <c r="B289" s="124" t="s">
        <v>1010</v>
      </c>
      <c r="C289" s="121" t="s">
        <v>48</v>
      </c>
      <c r="D289" s="121" t="s">
        <v>721</v>
      </c>
      <c r="E289" s="120" t="s">
        <v>1012</v>
      </c>
      <c r="F289" s="20" t="s">
        <v>25</v>
      </c>
      <c r="G289" s="143">
        <v>150000</v>
      </c>
      <c r="H289" s="121" t="s">
        <v>726</v>
      </c>
      <c r="I289" s="122" t="s">
        <v>27</v>
      </c>
      <c r="J289" s="122" t="s">
        <v>27</v>
      </c>
      <c r="K289" s="122" t="s">
        <v>27</v>
      </c>
      <c r="L289" s="122" t="s">
        <v>27</v>
      </c>
      <c r="M289" s="122" t="s">
        <v>27</v>
      </c>
      <c r="N289" s="122" t="s">
        <v>27</v>
      </c>
      <c r="O289" s="122" t="s">
        <v>709</v>
      </c>
      <c r="P289" s="22" t="s">
        <v>727</v>
      </c>
      <c r="Q289" s="83">
        <f t="shared" si="4"/>
        <v>2022</v>
      </c>
      <c r="R289" s="106"/>
    </row>
    <row r="290" spans="1:18" ht="14.5" hidden="1" customHeight="1" x14ac:dyDescent="0.35">
      <c r="A290" s="123" t="s">
        <v>1007</v>
      </c>
      <c r="B290" s="124" t="s">
        <v>1010</v>
      </c>
      <c r="C290" s="121" t="s">
        <v>48</v>
      </c>
      <c r="D290" s="121">
        <v>4</v>
      </c>
      <c r="E290" s="120" t="s">
        <v>1015</v>
      </c>
      <c r="F290" s="20" t="s">
        <v>25</v>
      </c>
      <c r="G290" s="143">
        <v>121000</v>
      </c>
      <c r="H290" s="121" t="s">
        <v>726</v>
      </c>
      <c r="I290" s="122" t="s">
        <v>27</v>
      </c>
      <c r="J290" s="122" t="s">
        <v>27</v>
      </c>
      <c r="K290" s="122" t="s">
        <v>27</v>
      </c>
      <c r="L290" s="122" t="s">
        <v>27</v>
      </c>
      <c r="M290" s="122" t="s">
        <v>27</v>
      </c>
      <c r="N290" s="122" t="s">
        <v>27</v>
      </c>
      <c r="O290" s="122" t="s">
        <v>709</v>
      </c>
      <c r="P290" s="22" t="s">
        <v>727</v>
      </c>
      <c r="Q290" s="83">
        <f t="shared" si="4"/>
        <v>2022</v>
      </c>
      <c r="R290" s="106"/>
    </row>
    <row r="291" spans="1:18" ht="14.5" hidden="1" x14ac:dyDescent="0.35">
      <c r="A291" s="123" t="s">
        <v>1007</v>
      </c>
      <c r="B291" s="124" t="s">
        <v>1010</v>
      </c>
      <c r="C291" s="121" t="s">
        <v>48</v>
      </c>
      <c r="D291" s="121">
        <v>5</v>
      </c>
      <c r="E291" s="120" t="s">
        <v>1016</v>
      </c>
      <c r="F291" s="20" t="s">
        <v>25</v>
      </c>
      <c r="G291" s="143">
        <v>69300</v>
      </c>
      <c r="H291" s="121" t="s">
        <v>726</v>
      </c>
      <c r="I291" s="122" t="s">
        <v>27</v>
      </c>
      <c r="J291" s="122" t="s">
        <v>27</v>
      </c>
      <c r="K291" s="122" t="s">
        <v>27</v>
      </c>
      <c r="L291" s="122" t="s">
        <v>27</v>
      </c>
      <c r="M291" s="122" t="s">
        <v>27</v>
      </c>
      <c r="N291" s="122" t="s">
        <v>27</v>
      </c>
      <c r="O291" s="122" t="s">
        <v>709</v>
      </c>
      <c r="P291" s="22" t="s">
        <v>727</v>
      </c>
      <c r="Q291" s="83">
        <f t="shared" si="4"/>
        <v>2022</v>
      </c>
      <c r="R291" s="106"/>
    </row>
    <row r="292" spans="1:18" ht="14.5" hidden="1" customHeight="1" x14ac:dyDescent="0.35">
      <c r="A292" s="123" t="s">
        <v>1007</v>
      </c>
      <c r="B292" s="124" t="s">
        <v>1010</v>
      </c>
      <c r="C292" s="121" t="s">
        <v>48</v>
      </c>
      <c r="D292" s="121" t="s">
        <v>735</v>
      </c>
      <c r="E292" s="120" t="s">
        <v>1017</v>
      </c>
      <c r="F292" s="20" t="s">
        <v>25</v>
      </c>
      <c r="G292" s="143">
        <v>209133.1</v>
      </c>
      <c r="H292" s="121" t="s">
        <v>726</v>
      </c>
      <c r="I292" s="122" t="s">
        <v>27</v>
      </c>
      <c r="J292" s="122" t="s">
        <v>27</v>
      </c>
      <c r="K292" s="122" t="s">
        <v>27</v>
      </c>
      <c r="L292" s="122" t="s">
        <v>27</v>
      </c>
      <c r="M292" s="122" t="s">
        <v>27</v>
      </c>
      <c r="N292" s="122" t="s">
        <v>27</v>
      </c>
      <c r="O292" s="122" t="s">
        <v>709</v>
      </c>
      <c r="P292" s="22" t="s">
        <v>727</v>
      </c>
      <c r="Q292" s="83">
        <f t="shared" si="4"/>
        <v>2022</v>
      </c>
      <c r="R292" s="106"/>
    </row>
    <row r="293" spans="1:18" ht="14.5" hidden="1" customHeight="1" x14ac:dyDescent="0.35">
      <c r="A293" s="123" t="s">
        <v>1007</v>
      </c>
      <c r="B293" s="124" t="s">
        <v>1010</v>
      </c>
      <c r="C293" s="121" t="s">
        <v>48</v>
      </c>
      <c r="D293" s="121" t="s">
        <v>678</v>
      </c>
      <c r="E293" s="120" t="s">
        <v>1018</v>
      </c>
      <c r="F293" s="20" t="s">
        <v>25</v>
      </c>
      <c r="G293" s="143">
        <v>55767.8</v>
      </c>
      <c r="H293" s="121" t="s">
        <v>726</v>
      </c>
      <c r="I293" s="122" t="s">
        <v>27</v>
      </c>
      <c r="J293" s="122" t="s">
        <v>27</v>
      </c>
      <c r="K293" s="122" t="s">
        <v>27</v>
      </c>
      <c r="L293" s="122" t="s">
        <v>27</v>
      </c>
      <c r="M293" s="122" t="s">
        <v>27</v>
      </c>
      <c r="N293" s="122" t="s">
        <v>27</v>
      </c>
      <c r="O293" s="122" t="s">
        <v>709</v>
      </c>
      <c r="P293" s="22" t="s">
        <v>727</v>
      </c>
      <c r="Q293" s="83">
        <f t="shared" si="4"/>
        <v>2022</v>
      </c>
      <c r="R293" s="106"/>
    </row>
    <row r="294" spans="1:18" ht="14.5" hidden="1" customHeight="1" x14ac:dyDescent="0.35">
      <c r="A294" s="123" t="s">
        <v>1007</v>
      </c>
      <c r="B294" s="124" t="s">
        <v>1010</v>
      </c>
      <c r="C294" s="121" t="s">
        <v>48</v>
      </c>
      <c r="D294" s="121" t="s">
        <v>688</v>
      </c>
      <c r="E294" s="120" t="s">
        <v>1019</v>
      </c>
      <c r="F294" s="20" t="s">
        <v>25</v>
      </c>
      <c r="G294" s="143">
        <v>85250</v>
      </c>
      <c r="H294" s="121" t="s">
        <v>726</v>
      </c>
      <c r="I294" s="122" t="s">
        <v>27</v>
      </c>
      <c r="J294" s="122" t="s">
        <v>27</v>
      </c>
      <c r="K294" s="122" t="s">
        <v>27</v>
      </c>
      <c r="L294" s="122" t="s">
        <v>27</v>
      </c>
      <c r="M294" s="122" t="s">
        <v>27</v>
      </c>
      <c r="N294" s="122" t="s">
        <v>27</v>
      </c>
      <c r="O294" s="122" t="s">
        <v>709</v>
      </c>
      <c r="P294" s="22" t="s">
        <v>727</v>
      </c>
      <c r="Q294" s="83">
        <f t="shared" si="4"/>
        <v>2022</v>
      </c>
      <c r="R294" s="106"/>
    </row>
    <row r="295" spans="1:18" ht="14.5" hidden="1" customHeight="1" x14ac:dyDescent="0.35">
      <c r="A295" s="123" t="s">
        <v>1007</v>
      </c>
      <c r="B295" s="124" t="s">
        <v>1010</v>
      </c>
      <c r="C295" s="121" t="s">
        <v>48</v>
      </c>
      <c r="D295" s="121">
        <v>9</v>
      </c>
      <c r="E295" s="120" t="s">
        <v>1020</v>
      </c>
      <c r="F295" s="20" t="s">
        <v>25</v>
      </c>
      <c r="G295" s="143">
        <v>36300</v>
      </c>
      <c r="H295" s="121" t="s">
        <v>726</v>
      </c>
      <c r="I295" s="122" t="s">
        <v>27</v>
      </c>
      <c r="J295" s="122" t="s">
        <v>27</v>
      </c>
      <c r="K295" s="122" t="s">
        <v>27</v>
      </c>
      <c r="L295" s="122" t="s">
        <v>27</v>
      </c>
      <c r="M295" s="122" t="s">
        <v>27</v>
      </c>
      <c r="N295" s="122" t="s">
        <v>27</v>
      </c>
      <c r="O295" s="122" t="s">
        <v>709</v>
      </c>
      <c r="P295" s="22" t="s">
        <v>727</v>
      </c>
      <c r="Q295" s="83">
        <f t="shared" si="4"/>
        <v>2022</v>
      </c>
      <c r="R295" s="106"/>
    </row>
    <row r="296" spans="1:18" ht="14.5" hidden="1" customHeight="1" x14ac:dyDescent="0.35">
      <c r="A296" s="123" t="s">
        <v>1007</v>
      </c>
      <c r="B296" s="124" t="s">
        <v>1010</v>
      </c>
      <c r="C296" s="121" t="s">
        <v>48</v>
      </c>
      <c r="D296" s="121">
        <v>10</v>
      </c>
      <c r="E296" s="120" t="s">
        <v>1021</v>
      </c>
      <c r="F296" s="20" t="s">
        <v>25</v>
      </c>
      <c r="G296" s="143">
        <v>71500</v>
      </c>
      <c r="H296" s="121" t="s">
        <v>726</v>
      </c>
      <c r="I296" s="122" t="s">
        <v>27</v>
      </c>
      <c r="J296" s="122" t="s">
        <v>27</v>
      </c>
      <c r="K296" s="122" t="s">
        <v>27</v>
      </c>
      <c r="L296" s="122" t="s">
        <v>27</v>
      </c>
      <c r="M296" s="122" t="s">
        <v>27</v>
      </c>
      <c r="N296" s="122" t="s">
        <v>27</v>
      </c>
      <c r="O296" s="122" t="s">
        <v>709</v>
      </c>
      <c r="P296" s="22" t="s">
        <v>727</v>
      </c>
      <c r="Q296" s="83">
        <f t="shared" si="4"/>
        <v>2022</v>
      </c>
      <c r="R296" s="106"/>
    </row>
    <row r="297" spans="1:18" ht="14.5" hidden="1" customHeight="1" x14ac:dyDescent="0.35">
      <c r="A297" s="123" t="s">
        <v>1007</v>
      </c>
      <c r="B297" s="124" t="s">
        <v>1010</v>
      </c>
      <c r="C297" s="121" t="s">
        <v>48</v>
      </c>
      <c r="D297" s="121">
        <v>11</v>
      </c>
      <c r="E297" s="120" t="s">
        <v>1022</v>
      </c>
      <c r="F297" s="20" t="s">
        <v>25</v>
      </c>
      <c r="G297" s="143">
        <v>156000</v>
      </c>
      <c r="H297" s="121" t="s">
        <v>663</v>
      </c>
      <c r="I297" s="162"/>
      <c r="J297" s="162"/>
      <c r="K297" s="162"/>
      <c r="L297" s="162"/>
      <c r="M297" s="162"/>
      <c r="N297" s="162"/>
      <c r="O297" s="122" t="s">
        <v>664</v>
      </c>
      <c r="P297" s="22"/>
      <c r="Q297" s="83">
        <f t="shared" si="4"/>
        <v>2022</v>
      </c>
      <c r="R297" s="106"/>
    </row>
    <row r="298" spans="1:18" ht="14.5" hidden="1" customHeight="1" x14ac:dyDescent="0.35">
      <c r="A298" s="123" t="s">
        <v>1007</v>
      </c>
      <c r="B298" s="124" t="s">
        <v>1010</v>
      </c>
      <c r="C298" s="121" t="s">
        <v>48</v>
      </c>
      <c r="D298" s="119">
        <v>0</v>
      </c>
      <c r="E298" s="120" t="s">
        <v>1023</v>
      </c>
      <c r="F298" s="20" t="s">
        <v>25</v>
      </c>
      <c r="G298" s="143">
        <v>51000</v>
      </c>
      <c r="H298" s="121" t="s">
        <v>663</v>
      </c>
      <c r="I298" s="162"/>
      <c r="J298" s="162"/>
      <c r="K298" s="162"/>
      <c r="L298" s="162"/>
      <c r="M298" s="162"/>
      <c r="N298" s="162"/>
      <c r="O298" s="122" t="s">
        <v>664</v>
      </c>
      <c r="P298" s="22"/>
      <c r="Q298" s="83">
        <f t="shared" si="4"/>
        <v>2022</v>
      </c>
      <c r="R298" s="106"/>
    </row>
    <row r="299" spans="1:18" ht="14.5" hidden="1" customHeight="1" x14ac:dyDescent="0.35">
      <c r="A299" s="123" t="s">
        <v>1007</v>
      </c>
      <c r="B299" s="124" t="s">
        <v>1010</v>
      </c>
      <c r="C299" s="121" t="s">
        <v>48</v>
      </c>
      <c r="D299" s="121" t="s">
        <v>699</v>
      </c>
      <c r="E299" s="120" t="s">
        <v>1023</v>
      </c>
      <c r="F299" s="20" t="s">
        <v>25</v>
      </c>
      <c r="G299" s="143">
        <v>88000</v>
      </c>
      <c r="H299" s="121" t="s">
        <v>749</v>
      </c>
      <c r="I299" s="162"/>
      <c r="J299" s="162"/>
      <c r="K299" s="162"/>
      <c r="L299" s="162"/>
      <c r="M299" s="162"/>
      <c r="N299" s="162"/>
      <c r="O299" s="122" t="s">
        <v>664</v>
      </c>
      <c r="P299" s="22"/>
      <c r="Q299" s="83">
        <f t="shared" si="4"/>
        <v>2022</v>
      </c>
      <c r="R299" s="106"/>
    </row>
    <row r="300" spans="1:18" ht="14.5" hidden="1" customHeight="1" x14ac:dyDescent="0.35">
      <c r="A300" s="123" t="s">
        <v>1007</v>
      </c>
      <c r="B300" s="124" t="s">
        <v>1010</v>
      </c>
      <c r="C300" s="121" t="s">
        <v>48</v>
      </c>
      <c r="D300" s="121">
        <v>12</v>
      </c>
      <c r="E300" s="120" t="s">
        <v>1024</v>
      </c>
      <c r="F300" s="20" t="s">
        <v>25</v>
      </c>
      <c r="G300" s="143">
        <v>89834.8</v>
      </c>
      <c r="H300" s="121" t="s">
        <v>726</v>
      </c>
      <c r="I300" s="122" t="s">
        <v>27</v>
      </c>
      <c r="J300" s="122" t="s">
        <v>27</v>
      </c>
      <c r="K300" s="122" t="s">
        <v>27</v>
      </c>
      <c r="L300" s="122" t="s">
        <v>27</v>
      </c>
      <c r="M300" s="122" t="s">
        <v>27</v>
      </c>
      <c r="N300" s="122" t="s">
        <v>27</v>
      </c>
      <c r="O300" s="122" t="s">
        <v>709</v>
      </c>
      <c r="P300" s="22" t="s">
        <v>727</v>
      </c>
      <c r="Q300" s="83">
        <f t="shared" si="4"/>
        <v>2022</v>
      </c>
      <c r="R300" s="106"/>
    </row>
    <row r="301" spans="1:18" ht="14.5" hidden="1" customHeight="1" x14ac:dyDescent="0.35">
      <c r="A301" s="123" t="s">
        <v>1007</v>
      </c>
      <c r="B301" s="124" t="s">
        <v>1010</v>
      </c>
      <c r="C301" s="121" t="s">
        <v>48</v>
      </c>
      <c r="D301" s="121">
        <v>13</v>
      </c>
      <c r="E301" s="120" t="s">
        <v>1025</v>
      </c>
      <c r="F301" s="20" t="s">
        <v>25</v>
      </c>
      <c r="G301" s="143">
        <v>66000</v>
      </c>
      <c r="H301" s="121" t="s">
        <v>726</v>
      </c>
      <c r="I301" s="122" t="s">
        <v>27</v>
      </c>
      <c r="J301" s="122" t="s">
        <v>27</v>
      </c>
      <c r="K301" s="122" t="s">
        <v>27</v>
      </c>
      <c r="L301" s="122" t="s">
        <v>27</v>
      </c>
      <c r="M301" s="122" t="s">
        <v>27</v>
      </c>
      <c r="N301" s="122" t="s">
        <v>27</v>
      </c>
      <c r="O301" s="122" t="s">
        <v>709</v>
      </c>
      <c r="P301" s="22" t="s">
        <v>727</v>
      </c>
      <c r="Q301" s="83">
        <f t="shared" si="4"/>
        <v>2022</v>
      </c>
      <c r="R301" s="106"/>
    </row>
    <row r="302" spans="1:18" ht="14.5" hidden="1" customHeight="1" x14ac:dyDescent="0.35">
      <c r="A302" s="123" t="s">
        <v>1007</v>
      </c>
      <c r="B302" s="124" t="s">
        <v>1010</v>
      </c>
      <c r="C302" s="121" t="s">
        <v>48</v>
      </c>
      <c r="D302" s="121">
        <v>14</v>
      </c>
      <c r="E302" s="120" t="s">
        <v>731</v>
      </c>
      <c r="F302" s="20" t="s">
        <v>25</v>
      </c>
      <c r="G302" s="143">
        <v>222310</v>
      </c>
      <c r="H302" s="121" t="s">
        <v>726</v>
      </c>
      <c r="I302" s="122" t="s">
        <v>27</v>
      </c>
      <c r="J302" s="122" t="s">
        <v>27</v>
      </c>
      <c r="K302" s="122" t="s">
        <v>27</v>
      </c>
      <c r="L302" s="122" t="s">
        <v>27</v>
      </c>
      <c r="M302" s="122" t="s">
        <v>27</v>
      </c>
      <c r="N302" s="122" t="s">
        <v>27</v>
      </c>
      <c r="O302" s="122" t="s">
        <v>709</v>
      </c>
      <c r="P302" s="22" t="s">
        <v>727</v>
      </c>
      <c r="Q302" s="83">
        <f t="shared" si="4"/>
        <v>2022</v>
      </c>
      <c r="R302" s="106"/>
    </row>
    <row r="303" spans="1:18" ht="14.5" hidden="1" customHeight="1" x14ac:dyDescent="0.35">
      <c r="A303" s="123" t="s">
        <v>1007</v>
      </c>
      <c r="B303" s="124" t="s">
        <v>1010</v>
      </c>
      <c r="C303" s="121" t="s">
        <v>48</v>
      </c>
      <c r="D303" s="121">
        <v>15</v>
      </c>
      <c r="E303" s="120" t="s">
        <v>1026</v>
      </c>
      <c r="F303" s="20" t="s">
        <v>25</v>
      </c>
      <c r="G303" s="143">
        <v>59400</v>
      </c>
      <c r="H303" s="121" t="s">
        <v>726</v>
      </c>
      <c r="I303" s="122" t="s">
        <v>27</v>
      </c>
      <c r="J303" s="122" t="s">
        <v>27</v>
      </c>
      <c r="K303" s="122" t="s">
        <v>27</v>
      </c>
      <c r="L303" s="122" t="s">
        <v>27</v>
      </c>
      <c r="M303" s="122" t="s">
        <v>27</v>
      </c>
      <c r="N303" s="122" t="s">
        <v>27</v>
      </c>
      <c r="O303" s="122" t="s">
        <v>709</v>
      </c>
      <c r="P303" s="22" t="s">
        <v>727</v>
      </c>
      <c r="Q303" s="83">
        <f t="shared" si="4"/>
        <v>2022</v>
      </c>
      <c r="R303" s="106"/>
    </row>
    <row r="304" spans="1:18" ht="14.5" hidden="1" customHeight="1" x14ac:dyDescent="0.35">
      <c r="A304" s="123" t="s">
        <v>1007</v>
      </c>
      <c r="B304" s="124" t="s">
        <v>1010</v>
      </c>
      <c r="C304" s="121" t="s">
        <v>48</v>
      </c>
      <c r="D304" s="121">
        <v>16</v>
      </c>
      <c r="E304" s="120" t="s">
        <v>1027</v>
      </c>
      <c r="F304" s="20" t="s">
        <v>25</v>
      </c>
      <c r="G304" s="143">
        <v>475000</v>
      </c>
      <c r="H304" s="121" t="s">
        <v>749</v>
      </c>
      <c r="I304" s="162"/>
      <c r="J304" s="162"/>
      <c r="K304" s="162"/>
      <c r="L304" s="162"/>
      <c r="M304" s="162"/>
      <c r="N304" s="162"/>
      <c r="O304" s="122" t="s">
        <v>664</v>
      </c>
      <c r="P304" s="22"/>
      <c r="Q304" s="83">
        <f t="shared" si="4"/>
        <v>2022</v>
      </c>
      <c r="R304" s="106"/>
    </row>
    <row r="305" spans="1:18" ht="14.5" hidden="1" customHeight="1" x14ac:dyDescent="0.35">
      <c r="A305" s="123" t="s">
        <v>1007</v>
      </c>
      <c r="B305" s="124" t="s">
        <v>1010</v>
      </c>
      <c r="C305" s="121" t="s">
        <v>48</v>
      </c>
      <c r="D305" s="121" t="s">
        <v>1028</v>
      </c>
      <c r="E305" s="120" t="s">
        <v>1027</v>
      </c>
      <c r="F305" s="20" t="s">
        <v>25</v>
      </c>
      <c r="G305" s="143">
        <v>600000</v>
      </c>
      <c r="H305" s="121" t="s">
        <v>663</v>
      </c>
      <c r="I305" s="162"/>
      <c r="J305" s="162"/>
      <c r="K305" s="162"/>
      <c r="L305" s="162"/>
      <c r="M305" s="162"/>
      <c r="N305" s="162"/>
      <c r="O305" s="122" t="s">
        <v>664</v>
      </c>
      <c r="P305" s="22"/>
      <c r="Q305" s="83">
        <f t="shared" si="4"/>
        <v>2022</v>
      </c>
      <c r="R305" s="106"/>
    </row>
    <row r="306" spans="1:18" ht="14.5" hidden="1" customHeight="1" x14ac:dyDescent="0.35">
      <c r="A306" s="123" t="s">
        <v>1007</v>
      </c>
      <c r="B306" s="124" t="s">
        <v>1010</v>
      </c>
      <c r="C306" s="121" t="s">
        <v>48</v>
      </c>
      <c r="D306" s="121" t="s">
        <v>1029</v>
      </c>
      <c r="E306" s="120" t="s">
        <v>1027</v>
      </c>
      <c r="F306" s="20" t="s">
        <v>25</v>
      </c>
      <c r="G306" s="143">
        <v>500000</v>
      </c>
      <c r="H306" s="121" t="s">
        <v>726</v>
      </c>
      <c r="I306" s="122" t="s">
        <v>27</v>
      </c>
      <c r="J306" s="122" t="s">
        <v>27</v>
      </c>
      <c r="K306" s="122" t="s">
        <v>27</v>
      </c>
      <c r="L306" s="122" t="s">
        <v>27</v>
      </c>
      <c r="M306" s="122" t="s">
        <v>27</v>
      </c>
      <c r="N306" s="122" t="s">
        <v>27</v>
      </c>
      <c r="O306" s="122" t="s">
        <v>709</v>
      </c>
      <c r="P306" s="22" t="s">
        <v>727</v>
      </c>
      <c r="Q306" s="83">
        <f t="shared" si="4"/>
        <v>2022</v>
      </c>
      <c r="R306" s="106"/>
    </row>
    <row r="307" spans="1:18" ht="14.5" hidden="1" customHeight="1" x14ac:dyDescent="0.35">
      <c r="A307" s="123" t="s">
        <v>1007</v>
      </c>
      <c r="B307" s="124" t="s">
        <v>1010</v>
      </c>
      <c r="C307" s="121" t="s">
        <v>48</v>
      </c>
      <c r="D307" s="121">
        <v>17</v>
      </c>
      <c r="E307" s="120" t="s">
        <v>1030</v>
      </c>
      <c r="F307" s="20" t="s">
        <v>25</v>
      </c>
      <c r="G307" s="143">
        <v>95500</v>
      </c>
      <c r="H307" s="121" t="s">
        <v>726</v>
      </c>
      <c r="I307" s="122" t="s">
        <v>27</v>
      </c>
      <c r="J307" s="122" t="s">
        <v>27</v>
      </c>
      <c r="K307" s="122" t="s">
        <v>27</v>
      </c>
      <c r="L307" s="122" t="s">
        <v>27</v>
      </c>
      <c r="M307" s="122" t="s">
        <v>27</v>
      </c>
      <c r="N307" s="122" t="s">
        <v>27</v>
      </c>
      <c r="O307" s="122" t="s">
        <v>709</v>
      </c>
      <c r="P307" s="22" t="s">
        <v>727</v>
      </c>
      <c r="Q307" s="83">
        <f t="shared" si="4"/>
        <v>2022</v>
      </c>
      <c r="R307" s="106"/>
    </row>
    <row r="308" spans="1:18" ht="14.5" hidden="1" customHeight="1" x14ac:dyDescent="0.35">
      <c r="A308" s="123" t="s">
        <v>1007</v>
      </c>
      <c r="B308" s="124" t="s">
        <v>1010</v>
      </c>
      <c r="C308" s="121" t="s">
        <v>48</v>
      </c>
      <c r="D308" s="121">
        <v>18</v>
      </c>
      <c r="E308" s="120" t="s">
        <v>1031</v>
      </c>
      <c r="F308" s="20" t="s">
        <v>25</v>
      </c>
      <c r="G308" s="143">
        <v>145000</v>
      </c>
      <c r="H308" s="121" t="s">
        <v>749</v>
      </c>
      <c r="I308" s="162"/>
      <c r="J308" s="162"/>
      <c r="K308" s="162"/>
      <c r="L308" s="162"/>
      <c r="M308" s="162"/>
      <c r="N308" s="162"/>
      <c r="O308" s="122" t="s">
        <v>664</v>
      </c>
      <c r="P308" s="22"/>
      <c r="Q308" s="83">
        <f t="shared" si="4"/>
        <v>2022</v>
      </c>
      <c r="R308" s="106"/>
    </row>
    <row r="309" spans="1:18" ht="14.5" hidden="1" customHeight="1" x14ac:dyDescent="0.35">
      <c r="A309" s="123" t="s">
        <v>1007</v>
      </c>
      <c r="B309" s="124" t="s">
        <v>1010</v>
      </c>
      <c r="C309" s="121" t="s">
        <v>48</v>
      </c>
      <c r="D309" s="121" t="s">
        <v>1032</v>
      </c>
      <c r="E309" s="120" t="s">
        <v>1031</v>
      </c>
      <c r="F309" s="20" t="s">
        <v>25</v>
      </c>
      <c r="G309" s="143">
        <v>125000</v>
      </c>
      <c r="H309" s="121" t="s">
        <v>726</v>
      </c>
      <c r="I309" s="122" t="s">
        <v>27</v>
      </c>
      <c r="J309" s="122" t="s">
        <v>27</v>
      </c>
      <c r="K309" s="122" t="s">
        <v>27</v>
      </c>
      <c r="L309" s="122" t="s">
        <v>27</v>
      </c>
      <c r="M309" s="122" t="s">
        <v>27</v>
      </c>
      <c r="N309" s="122" t="s">
        <v>27</v>
      </c>
      <c r="O309" s="122" t="s">
        <v>709</v>
      </c>
      <c r="P309" s="22" t="s">
        <v>727</v>
      </c>
      <c r="Q309" s="83">
        <f t="shared" si="4"/>
        <v>2022</v>
      </c>
      <c r="R309" s="106"/>
    </row>
    <row r="310" spans="1:18" ht="14.5" hidden="1" customHeight="1" x14ac:dyDescent="0.35">
      <c r="A310" s="123" t="s">
        <v>1007</v>
      </c>
      <c r="B310" s="124" t="s">
        <v>1010</v>
      </c>
      <c r="C310" s="121" t="s">
        <v>48</v>
      </c>
      <c r="D310" s="121">
        <v>19</v>
      </c>
      <c r="E310" s="120" t="s">
        <v>1014</v>
      </c>
      <c r="F310" s="20" t="s">
        <v>25</v>
      </c>
      <c r="G310" s="143">
        <v>300000</v>
      </c>
      <c r="H310" s="121" t="s">
        <v>663</v>
      </c>
      <c r="I310" s="162"/>
      <c r="J310" s="162"/>
      <c r="K310" s="162"/>
      <c r="L310" s="162"/>
      <c r="M310" s="162"/>
      <c r="N310" s="162"/>
      <c r="O310" s="122" t="s">
        <v>664</v>
      </c>
      <c r="P310" s="22"/>
      <c r="Q310" s="83">
        <f t="shared" si="4"/>
        <v>2022</v>
      </c>
      <c r="R310" s="106"/>
    </row>
    <row r="311" spans="1:18" ht="14.5" hidden="1" customHeight="1" x14ac:dyDescent="0.35">
      <c r="A311" s="123" t="s">
        <v>1007</v>
      </c>
      <c r="B311" s="124" t="s">
        <v>1010</v>
      </c>
      <c r="C311" s="121" t="s">
        <v>48</v>
      </c>
      <c r="D311" s="121" t="s">
        <v>1033</v>
      </c>
      <c r="E311" s="120" t="s">
        <v>1034</v>
      </c>
      <c r="F311" s="20" t="s">
        <v>25</v>
      </c>
      <c r="G311" s="143">
        <v>300000</v>
      </c>
      <c r="H311" s="121" t="s">
        <v>726</v>
      </c>
      <c r="I311" s="122" t="s">
        <v>27</v>
      </c>
      <c r="J311" s="122" t="s">
        <v>27</v>
      </c>
      <c r="K311" s="122" t="s">
        <v>27</v>
      </c>
      <c r="L311" s="122" t="s">
        <v>27</v>
      </c>
      <c r="M311" s="122" t="s">
        <v>27</v>
      </c>
      <c r="N311" s="122" t="s">
        <v>27</v>
      </c>
      <c r="O311" s="122" t="s">
        <v>709</v>
      </c>
      <c r="P311" s="22" t="s">
        <v>727</v>
      </c>
      <c r="Q311" s="83">
        <f t="shared" si="4"/>
        <v>2022</v>
      </c>
      <c r="R311" s="106"/>
    </row>
    <row r="312" spans="1:18" ht="14.5" hidden="1" customHeight="1" x14ac:dyDescent="0.35">
      <c r="A312" s="123" t="s">
        <v>1007</v>
      </c>
      <c r="B312" s="124" t="s">
        <v>1010</v>
      </c>
      <c r="C312" s="121" t="s">
        <v>48</v>
      </c>
      <c r="D312" s="121" t="s">
        <v>1035</v>
      </c>
      <c r="E312" s="120" t="s">
        <v>1036</v>
      </c>
      <c r="F312" s="20" t="s">
        <v>25</v>
      </c>
      <c r="G312" s="143">
        <v>45000</v>
      </c>
      <c r="H312" s="121" t="s">
        <v>726</v>
      </c>
      <c r="I312" s="122" t="s">
        <v>27</v>
      </c>
      <c r="J312" s="122" t="s">
        <v>27</v>
      </c>
      <c r="K312" s="122" t="s">
        <v>27</v>
      </c>
      <c r="L312" s="122" t="s">
        <v>27</v>
      </c>
      <c r="M312" s="122" t="s">
        <v>27</v>
      </c>
      <c r="N312" s="122" t="s">
        <v>27</v>
      </c>
      <c r="O312" s="122" t="s">
        <v>709</v>
      </c>
      <c r="P312" s="22" t="s">
        <v>727</v>
      </c>
      <c r="Q312" s="83">
        <f t="shared" si="4"/>
        <v>2022</v>
      </c>
      <c r="R312" s="106"/>
    </row>
    <row r="313" spans="1:18" ht="14.5" hidden="1" customHeight="1" x14ac:dyDescent="0.35">
      <c r="A313" s="123" t="s">
        <v>1007</v>
      </c>
      <c r="B313" s="124" t="s">
        <v>1010</v>
      </c>
      <c r="C313" s="121" t="s">
        <v>48</v>
      </c>
      <c r="D313" s="121">
        <v>21</v>
      </c>
      <c r="E313" s="120" t="s">
        <v>1037</v>
      </c>
      <c r="F313" s="20" t="s">
        <v>25</v>
      </c>
      <c r="G313" s="143">
        <v>30000</v>
      </c>
      <c r="H313" s="121" t="s">
        <v>726</v>
      </c>
      <c r="I313" s="122" t="s">
        <v>27</v>
      </c>
      <c r="J313" s="122" t="s">
        <v>27</v>
      </c>
      <c r="K313" s="122" t="s">
        <v>27</v>
      </c>
      <c r="L313" s="122" t="s">
        <v>27</v>
      </c>
      <c r="M313" s="122" t="s">
        <v>27</v>
      </c>
      <c r="N313" s="122" t="s">
        <v>27</v>
      </c>
      <c r="O313" s="122" t="s">
        <v>709</v>
      </c>
      <c r="P313" s="22" t="s">
        <v>727</v>
      </c>
      <c r="Q313" s="83">
        <f t="shared" si="4"/>
        <v>2022</v>
      </c>
      <c r="R313" s="106"/>
    </row>
    <row r="314" spans="1:18" ht="14.5" hidden="1" customHeight="1" x14ac:dyDescent="0.35">
      <c r="A314" s="123" t="s">
        <v>1007</v>
      </c>
      <c r="B314" s="124" t="s">
        <v>1010</v>
      </c>
      <c r="C314" s="121" t="s">
        <v>48</v>
      </c>
      <c r="D314" s="121">
        <v>22</v>
      </c>
      <c r="E314" s="120" t="s">
        <v>1038</v>
      </c>
      <c r="F314" s="20" t="s">
        <v>25</v>
      </c>
      <c r="G314" s="143">
        <v>510000</v>
      </c>
      <c r="H314" s="121" t="s">
        <v>663</v>
      </c>
      <c r="I314" s="162"/>
      <c r="J314" s="162"/>
      <c r="K314" s="162"/>
      <c r="L314" s="162"/>
      <c r="M314" s="162"/>
      <c r="N314" s="162"/>
      <c r="O314" s="122" t="s">
        <v>664</v>
      </c>
      <c r="P314" s="22"/>
      <c r="Q314" s="83">
        <f t="shared" si="4"/>
        <v>2022</v>
      </c>
      <c r="R314" s="106"/>
    </row>
    <row r="315" spans="1:18" s="32" customFormat="1" ht="14.5" hidden="1" customHeight="1" x14ac:dyDescent="0.35">
      <c r="A315" s="123" t="s">
        <v>1007</v>
      </c>
      <c r="B315" s="124" t="s">
        <v>1010</v>
      </c>
      <c r="C315" s="121" t="s">
        <v>48</v>
      </c>
      <c r="D315" s="121" t="s">
        <v>1039</v>
      </c>
      <c r="E315" s="120" t="s">
        <v>1038</v>
      </c>
      <c r="F315" s="20" t="s">
        <v>25</v>
      </c>
      <c r="G315" s="143">
        <v>426470</v>
      </c>
      <c r="H315" s="121" t="s">
        <v>726</v>
      </c>
      <c r="I315" s="122" t="s">
        <v>27</v>
      </c>
      <c r="J315" s="122" t="s">
        <v>27</v>
      </c>
      <c r="K315" s="122" t="s">
        <v>27</v>
      </c>
      <c r="L315" s="122" t="s">
        <v>27</v>
      </c>
      <c r="M315" s="122" t="s">
        <v>27</v>
      </c>
      <c r="N315" s="122" t="s">
        <v>27</v>
      </c>
      <c r="O315" s="122" t="s">
        <v>709</v>
      </c>
      <c r="P315" s="22" t="s">
        <v>727</v>
      </c>
      <c r="Q315" s="83">
        <f t="shared" si="4"/>
        <v>2022</v>
      </c>
      <c r="R315" s="106"/>
    </row>
    <row r="316" spans="1:18" ht="14.5" hidden="1" customHeight="1" x14ac:dyDescent="0.35">
      <c r="A316" s="123" t="s">
        <v>1007</v>
      </c>
      <c r="B316" s="124" t="s">
        <v>1010</v>
      </c>
      <c r="C316" s="121" t="s">
        <v>48</v>
      </c>
      <c r="D316" s="121" t="s">
        <v>1040</v>
      </c>
      <c r="E316" s="120" t="s">
        <v>1041</v>
      </c>
      <c r="F316" s="20" t="s">
        <v>25</v>
      </c>
      <c r="G316" s="143">
        <v>109000</v>
      </c>
      <c r="H316" s="121" t="s">
        <v>726</v>
      </c>
      <c r="I316" s="122" t="s">
        <v>27</v>
      </c>
      <c r="J316" s="122" t="s">
        <v>27</v>
      </c>
      <c r="K316" s="122" t="s">
        <v>27</v>
      </c>
      <c r="L316" s="122" t="s">
        <v>27</v>
      </c>
      <c r="M316" s="122" t="s">
        <v>27</v>
      </c>
      <c r="N316" s="122" t="s">
        <v>27</v>
      </c>
      <c r="O316" s="122" t="s">
        <v>709</v>
      </c>
      <c r="P316" s="22" t="s">
        <v>727</v>
      </c>
      <c r="Q316" s="83">
        <f t="shared" si="4"/>
        <v>2022</v>
      </c>
      <c r="R316" s="106"/>
    </row>
    <row r="317" spans="1:18" ht="14.5" hidden="1" customHeight="1" x14ac:dyDescent="0.35">
      <c r="A317" s="123" t="s">
        <v>1007</v>
      </c>
      <c r="B317" s="124" t="s">
        <v>1010</v>
      </c>
      <c r="C317" s="121" t="s">
        <v>48</v>
      </c>
      <c r="D317" s="121">
        <v>24</v>
      </c>
      <c r="E317" s="120" t="s">
        <v>1042</v>
      </c>
      <c r="F317" s="20" t="s">
        <v>25</v>
      </c>
      <c r="G317" s="143">
        <v>59400</v>
      </c>
      <c r="H317" s="121" t="s">
        <v>726</v>
      </c>
      <c r="I317" s="122" t="s">
        <v>27</v>
      </c>
      <c r="J317" s="122" t="s">
        <v>27</v>
      </c>
      <c r="K317" s="122" t="s">
        <v>27</v>
      </c>
      <c r="L317" s="122" t="s">
        <v>27</v>
      </c>
      <c r="M317" s="122" t="s">
        <v>27</v>
      </c>
      <c r="N317" s="122" t="s">
        <v>27</v>
      </c>
      <c r="O317" s="122" t="s">
        <v>709</v>
      </c>
      <c r="P317" s="22" t="s">
        <v>727</v>
      </c>
      <c r="Q317" s="83">
        <f t="shared" si="4"/>
        <v>2022</v>
      </c>
      <c r="R317" s="106"/>
    </row>
    <row r="318" spans="1:18" ht="14.5" hidden="1" customHeight="1" x14ac:dyDescent="0.35">
      <c r="A318" s="123" t="s">
        <v>1043</v>
      </c>
      <c r="B318" s="124" t="s">
        <v>1044</v>
      </c>
      <c r="C318" s="121" t="s">
        <v>37</v>
      </c>
      <c r="D318" s="121" t="s">
        <v>667</v>
      </c>
      <c r="E318" s="120" t="s">
        <v>753</v>
      </c>
      <c r="F318" s="20" t="s">
        <v>25</v>
      </c>
      <c r="G318" s="143">
        <v>120000</v>
      </c>
      <c r="H318" s="121" t="s">
        <v>709</v>
      </c>
      <c r="I318" s="122" t="s">
        <v>27</v>
      </c>
      <c r="J318" s="122" t="s">
        <v>27</v>
      </c>
      <c r="K318" s="122" t="s">
        <v>27</v>
      </c>
      <c r="L318" s="122" t="s">
        <v>27</v>
      </c>
      <c r="M318" s="122" t="s">
        <v>27</v>
      </c>
      <c r="N318" s="122" t="s">
        <v>27</v>
      </c>
      <c r="O318" s="122" t="s">
        <v>709</v>
      </c>
      <c r="P318" s="116" t="s">
        <v>710</v>
      </c>
      <c r="Q318" s="83">
        <f t="shared" si="4"/>
        <v>2022</v>
      </c>
      <c r="R318" s="106"/>
    </row>
    <row r="319" spans="1:18" ht="14.5" hidden="1" customHeight="1" x14ac:dyDescent="0.35">
      <c r="A319" s="123" t="s">
        <v>1043</v>
      </c>
      <c r="B319" s="124" t="s">
        <v>1044</v>
      </c>
      <c r="C319" s="121" t="s">
        <v>37</v>
      </c>
      <c r="D319" s="121">
        <v>2</v>
      </c>
      <c r="E319" s="120" t="s">
        <v>1045</v>
      </c>
      <c r="F319" s="20" t="s">
        <v>25</v>
      </c>
      <c r="G319" s="143">
        <v>3000</v>
      </c>
      <c r="H319" s="121" t="s">
        <v>709</v>
      </c>
      <c r="I319" s="122" t="s">
        <v>27</v>
      </c>
      <c r="J319" s="122" t="s">
        <v>27</v>
      </c>
      <c r="K319" s="122" t="s">
        <v>27</v>
      </c>
      <c r="L319" s="122" t="s">
        <v>27</v>
      </c>
      <c r="M319" s="122" t="s">
        <v>27</v>
      </c>
      <c r="N319" s="122" t="s">
        <v>27</v>
      </c>
      <c r="O319" s="122" t="s">
        <v>709</v>
      </c>
      <c r="P319" s="116" t="s">
        <v>710</v>
      </c>
      <c r="Q319" s="83">
        <f t="shared" si="4"/>
        <v>2022</v>
      </c>
      <c r="R319" s="106"/>
    </row>
    <row r="320" spans="1:18" ht="14.5" hidden="1" customHeight="1" x14ac:dyDescent="0.35">
      <c r="A320" s="123" t="s">
        <v>1043</v>
      </c>
      <c r="B320" s="124" t="s">
        <v>1044</v>
      </c>
      <c r="C320" s="121" t="s">
        <v>37</v>
      </c>
      <c r="D320" s="121">
        <v>3</v>
      </c>
      <c r="E320" s="120" t="s">
        <v>905</v>
      </c>
      <c r="F320" s="20" t="s">
        <v>25</v>
      </c>
      <c r="G320" s="143">
        <v>275000</v>
      </c>
      <c r="H320" s="121" t="s">
        <v>663</v>
      </c>
      <c r="I320" s="162"/>
      <c r="J320" s="162"/>
      <c r="K320" s="162"/>
      <c r="L320" s="162"/>
      <c r="M320" s="162"/>
      <c r="N320" s="162"/>
      <c r="O320" s="122" t="s">
        <v>664</v>
      </c>
      <c r="P320" s="22"/>
      <c r="Q320" s="83">
        <f t="shared" si="4"/>
        <v>2022</v>
      </c>
      <c r="R320" s="106"/>
    </row>
    <row r="321" spans="1:18" ht="14.5" hidden="1" customHeight="1" x14ac:dyDescent="0.35">
      <c r="A321" s="123" t="s">
        <v>1043</v>
      </c>
      <c r="B321" s="124" t="s">
        <v>1044</v>
      </c>
      <c r="C321" s="121" t="s">
        <v>37</v>
      </c>
      <c r="D321" s="121" t="s">
        <v>671</v>
      </c>
      <c r="E321" s="120" t="s">
        <v>905</v>
      </c>
      <c r="F321" s="20" t="s">
        <v>25</v>
      </c>
      <c r="G321" s="143">
        <v>300000</v>
      </c>
      <c r="H321" s="121" t="s">
        <v>726</v>
      </c>
      <c r="I321" s="122" t="s">
        <v>27</v>
      </c>
      <c r="J321" s="122" t="s">
        <v>27</v>
      </c>
      <c r="K321" s="122" t="s">
        <v>27</v>
      </c>
      <c r="L321" s="122" t="s">
        <v>27</v>
      </c>
      <c r="M321" s="122" t="s">
        <v>27</v>
      </c>
      <c r="N321" s="122" t="s">
        <v>27</v>
      </c>
      <c r="O321" s="122" t="s">
        <v>709</v>
      </c>
      <c r="P321" s="22" t="s">
        <v>727</v>
      </c>
      <c r="Q321" s="83">
        <f t="shared" si="4"/>
        <v>2022</v>
      </c>
      <c r="R321" s="106"/>
    </row>
    <row r="322" spans="1:18" ht="14.5" hidden="1" customHeight="1" x14ac:dyDescent="0.35">
      <c r="A322" s="123" t="s">
        <v>1043</v>
      </c>
      <c r="B322" s="124" t="s">
        <v>1044</v>
      </c>
      <c r="C322" s="121" t="s">
        <v>37</v>
      </c>
      <c r="D322" s="121">
        <v>4</v>
      </c>
      <c r="E322" s="120" t="s">
        <v>1046</v>
      </c>
      <c r="F322" s="20" t="s">
        <v>25</v>
      </c>
      <c r="G322" s="143">
        <v>156060</v>
      </c>
      <c r="H322" s="121" t="s">
        <v>781</v>
      </c>
      <c r="I322" s="122" t="s">
        <v>27</v>
      </c>
      <c r="J322" s="122" t="s">
        <v>27</v>
      </c>
      <c r="K322" s="122" t="s">
        <v>27</v>
      </c>
      <c r="L322" s="122" t="s">
        <v>27</v>
      </c>
      <c r="M322" s="122" t="s">
        <v>27</v>
      </c>
      <c r="N322" s="122" t="s">
        <v>27</v>
      </c>
      <c r="O322" s="122" t="s">
        <v>709</v>
      </c>
      <c r="P322" s="22" t="s">
        <v>727</v>
      </c>
      <c r="Q322" s="83">
        <f t="shared" si="4"/>
        <v>2022</v>
      </c>
      <c r="R322" s="106"/>
    </row>
    <row r="323" spans="1:18" ht="14.5" hidden="1" customHeight="1" x14ac:dyDescent="0.35">
      <c r="A323" s="118" t="s">
        <v>1047</v>
      </c>
      <c r="B323" s="88" t="s">
        <v>592</v>
      </c>
      <c r="C323" s="119" t="s">
        <v>23</v>
      </c>
      <c r="D323" s="119">
        <v>1</v>
      </c>
      <c r="E323" s="120" t="s">
        <v>1048</v>
      </c>
      <c r="F323" s="20" t="s">
        <v>25</v>
      </c>
      <c r="G323" s="143">
        <v>32285</v>
      </c>
      <c r="H323" s="119" t="s">
        <v>709</v>
      </c>
      <c r="I323" s="122" t="s">
        <v>27</v>
      </c>
      <c r="J323" s="122" t="s">
        <v>27</v>
      </c>
      <c r="K323" s="122" t="s">
        <v>27</v>
      </c>
      <c r="L323" s="122" t="s">
        <v>27</v>
      </c>
      <c r="M323" s="122" t="s">
        <v>27</v>
      </c>
      <c r="N323" s="122" t="s">
        <v>27</v>
      </c>
      <c r="O323" s="122" t="s">
        <v>709</v>
      </c>
      <c r="P323" s="22" t="s">
        <v>710</v>
      </c>
      <c r="Q323" s="83">
        <f t="shared" ref="Q323:Q386" si="5">IFERROR(2000+VALUE(LEFT(A323,2)),"")</f>
        <v>2022</v>
      </c>
      <c r="R323" s="106"/>
    </row>
    <row r="324" spans="1:18" ht="14.5" hidden="1" customHeight="1" x14ac:dyDescent="0.35">
      <c r="A324" s="118" t="s">
        <v>1047</v>
      </c>
      <c r="B324" s="88" t="s">
        <v>592</v>
      </c>
      <c r="C324" s="119" t="s">
        <v>23</v>
      </c>
      <c r="D324" s="119">
        <v>1</v>
      </c>
      <c r="E324" s="120" t="s">
        <v>1049</v>
      </c>
      <c r="F324" s="20" t="s">
        <v>25</v>
      </c>
      <c r="G324" s="143">
        <v>295000</v>
      </c>
      <c r="H324" s="119" t="s">
        <v>709</v>
      </c>
      <c r="I324" s="122" t="s">
        <v>27</v>
      </c>
      <c r="J324" s="122" t="s">
        <v>27</v>
      </c>
      <c r="K324" s="122" t="s">
        <v>27</v>
      </c>
      <c r="L324" s="122" t="s">
        <v>27</v>
      </c>
      <c r="M324" s="122" t="s">
        <v>27</v>
      </c>
      <c r="N324" s="122" t="s">
        <v>27</v>
      </c>
      <c r="O324" s="122" t="s">
        <v>709</v>
      </c>
      <c r="P324" s="22" t="s">
        <v>710</v>
      </c>
      <c r="Q324" s="83">
        <f t="shared" si="5"/>
        <v>2022</v>
      </c>
      <c r="R324" s="106"/>
    </row>
    <row r="325" spans="1:18" ht="14.5" hidden="1" customHeight="1" x14ac:dyDescent="0.35">
      <c r="A325" s="123" t="s">
        <v>588</v>
      </c>
      <c r="B325" s="124" t="s">
        <v>589</v>
      </c>
      <c r="C325" s="121" t="s">
        <v>48</v>
      </c>
      <c r="D325" s="121">
        <v>1</v>
      </c>
      <c r="E325" s="120" t="s">
        <v>1050</v>
      </c>
      <c r="F325" s="6" t="s">
        <v>25</v>
      </c>
      <c r="G325" s="143">
        <v>190000</v>
      </c>
      <c r="H325" s="121" t="s">
        <v>726</v>
      </c>
      <c r="I325" s="122" t="s">
        <v>27</v>
      </c>
      <c r="J325" s="122" t="s">
        <v>27</v>
      </c>
      <c r="K325" s="122" t="s">
        <v>27</v>
      </c>
      <c r="L325" s="122" t="s">
        <v>27</v>
      </c>
      <c r="M325" s="122" t="s">
        <v>27</v>
      </c>
      <c r="N325" s="122" t="s">
        <v>27</v>
      </c>
      <c r="O325" s="122" t="s">
        <v>709</v>
      </c>
      <c r="P325" s="22"/>
      <c r="Q325" s="83">
        <f t="shared" si="5"/>
        <v>2022</v>
      </c>
      <c r="R325" s="106"/>
    </row>
    <row r="326" spans="1:18" ht="14.5" hidden="1" customHeight="1" x14ac:dyDescent="0.35">
      <c r="A326" s="123" t="s">
        <v>588</v>
      </c>
      <c r="B326" s="124" t="s">
        <v>589</v>
      </c>
      <c r="C326" s="121" t="s">
        <v>48</v>
      </c>
      <c r="D326" s="121">
        <v>2</v>
      </c>
      <c r="E326" s="120" t="s">
        <v>1050</v>
      </c>
      <c r="F326" s="6" t="s">
        <v>25</v>
      </c>
      <c r="G326" s="143">
        <v>183500</v>
      </c>
      <c r="H326" s="121" t="s">
        <v>663</v>
      </c>
      <c r="I326" s="162"/>
      <c r="J326" s="162"/>
      <c r="K326" s="162"/>
      <c r="L326" s="162"/>
      <c r="M326" s="162"/>
      <c r="N326" s="162"/>
      <c r="O326" s="122" t="s">
        <v>664</v>
      </c>
      <c r="P326" s="22"/>
      <c r="Q326" s="83">
        <f t="shared" si="5"/>
        <v>2022</v>
      </c>
      <c r="R326" s="106"/>
    </row>
    <row r="327" spans="1:18" ht="14.5" hidden="1" customHeight="1" x14ac:dyDescent="0.35">
      <c r="A327" s="123" t="s">
        <v>588</v>
      </c>
      <c r="B327" s="124" t="s">
        <v>589</v>
      </c>
      <c r="C327" s="121" t="s">
        <v>48</v>
      </c>
      <c r="D327" s="121" t="s">
        <v>755</v>
      </c>
      <c r="E327" s="120" t="s">
        <v>1050</v>
      </c>
      <c r="F327" s="6" t="s">
        <v>25</v>
      </c>
      <c r="G327" s="143">
        <v>194630</v>
      </c>
      <c r="H327" s="121" t="s">
        <v>663</v>
      </c>
      <c r="I327" s="162"/>
      <c r="J327" s="162"/>
      <c r="K327" s="162"/>
      <c r="L327" s="162"/>
      <c r="M327" s="162"/>
      <c r="N327" s="162"/>
      <c r="O327" s="122" t="s">
        <v>664</v>
      </c>
      <c r="P327" s="22"/>
      <c r="Q327" s="83">
        <f t="shared" si="5"/>
        <v>2022</v>
      </c>
      <c r="R327" s="106"/>
    </row>
    <row r="328" spans="1:18" ht="14.5" hidden="1" customHeight="1" x14ac:dyDescent="0.35">
      <c r="A328" s="123" t="s">
        <v>588</v>
      </c>
      <c r="B328" s="124" t="s">
        <v>589</v>
      </c>
      <c r="C328" s="121" t="s">
        <v>48</v>
      </c>
      <c r="D328" s="121" t="s">
        <v>721</v>
      </c>
      <c r="E328" s="120" t="s">
        <v>1050</v>
      </c>
      <c r="F328" s="6" t="s">
        <v>25</v>
      </c>
      <c r="G328" s="143">
        <v>343500</v>
      </c>
      <c r="H328" s="121" t="s">
        <v>726</v>
      </c>
      <c r="I328" s="122" t="s">
        <v>27</v>
      </c>
      <c r="J328" s="122" t="s">
        <v>27</v>
      </c>
      <c r="K328" s="122" t="s">
        <v>27</v>
      </c>
      <c r="L328" s="122" t="s">
        <v>27</v>
      </c>
      <c r="M328" s="122" t="s">
        <v>27</v>
      </c>
      <c r="N328" s="122" t="s">
        <v>27</v>
      </c>
      <c r="O328" s="122" t="s">
        <v>709</v>
      </c>
      <c r="P328" s="22"/>
      <c r="Q328" s="83">
        <f t="shared" si="5"/>
        <v>2022</v>
      </c>
      <c r="R328" s="106"/>
    </row>
    <row r="329" spans="1:18" ht="14.5" hidden="1" customHeight="1" x14ac:dyDescent="0.35">
      <c r="A329" s="123" t="s">
        <v>588</v>
      </c>
      <c r="B329" s="124" t="s">
        <v>589</v>
      </c>
      <c r="C329" s="121" t="s">
        <v>48</v>
      </c>
      <c r="D329" s="121">
        <v>3</v>
      </c>
      <c r="E329" s="120" t="s">
        <v>1051</v>
      </c>
      <c r="F329" s="6" t="s">
        <v>25</v>
      </c>
      <c r="G329" s="143">
        <v>15000</v>
      </c>
      <c r="H329" s="121" t="s">
        <v>726</v>
      </c>
      <c r="I329" s="122" t="s">
        <v>27</v>
      </c>
      <c r="J329" s="122" t="s">
        <v>27</v>
      </c>
      <c r="K329" s="122" t="s">
        <v>27</v>
      </c>
      <c r="L329" s="122" t="s">
        <v>27</v>
      </c>
      <c r="M329" s="122" t="s">
        <v>27</v>
      </c>
      <c r="N329" s="122" t="s">
        <v>27</v>
      </c>
      <c r="O329" s="122" t="s">
        <v>709</v>
      </c>
      <c r="P329" s="22"/>
      <c r="Q329" s="83">
        <f t="shared" si="5"/>
        <v>2022</v>
      </c>
      <c r="R329" s="106"/>
    </row>
    <row r="330" spans="1:18" ht="14.5" hidden="1" customHeight="1" x14ac:dyDescent="0.35">
      <c r="A330" s="123" t="s">
        <v>1052</v>
      </c>
      <c r="B330" s="124" t="s">
        <v>586</v>
      </c>
      <c r="C330" s="121" t="s">
        <v>48</v>
      </c>
      <c r="D330" s="121">
        <v>1</v>
      </c>
      <c r="E330" s="120" t="s">
        <v>1053</v>
      </c>
      <c r="F330" s="6" t="s">
        <v>25</v>
      </c>
      <c r="G330" s="143">
        <v>148000</v>
      </c>
      <c r="H330" s="121" t="s">
        <v>709</v>
      </c>
      <c r="I330" s="122" t="s">
        <v>27</v>
      </c>
      <c r="J330" s="122" t="s">
        <v>27</v>
      </c>
      <c r="K330" s="122" t="s">
        <v>27</v>
      </c>
      <c r="L330" s="122" t="s">
        <v>27</v>
      </c>
      <c r="M330" s="122" t="s">
        <v>27</v>
      </c>
      <c r="N330" s="122" t="s">
        <v>27</v>
      </c>
      <c r="O330" s="122" t="s">
        <v>709</v>
      </c>
      <c r="P330" s="22"/>
      <c r="Q330" s="83">
        <f t="shared" si="5"/>
        <v>2022</v>
      </c>
      <c r="R330" s="106"/>
    </row>
    <row r="331" spans="1:18" ht="14.5" hidden="1" customHeight="1" x14ac:dyDescent="0.35">
      <c r="A331" s="123" t="s">
        <v>1052</v>
      </c>
      <c r="B331" s="124" t="s">
        <v>586</v>
      </c>
      <c r="C331" s="121" t="s">
        <v>48</v>
      </c>
      <c r="D331" s="121">
        <v>2</v>
      </c>
      <c r="E331" s="120" t="s">
        <v>1053</v>
      </c>
      <c r="F331" s="6" t="s">
        <v>25</v>
      </c>
      <c r="G331" s="143">
        <v>1575</v>
      </c>
      <c r="H331" s="121" t="s">
        <v>726</v>
      </c>
      <c r="I331" s="122" t="s">
        <v>27</v>
      </c>
      <c r="J331" s="122" t="s">
        <v>27</v>
      </c>
      <c r="K331" s="122" t="s">
        <v>27</v>
      </c>
      <c r="L331" s="122" t="s">
        <v>27</v>
      </c>
      <c r="M331" s="122" t="s">
        <v>27</v>
      </c>
      <c r="N331" s="122" t="s">
        <v>27</v>
      </c>
      <c r="O331" s="122" t="s">
        <v>745</v>
      </c>
      <c r="P331" s="22"/>
      <c r="Q331" s="83">
        <f t="shared" si="5"/>
        <v>2022</v>
      </c>
      <c r="R331" s="106"/>
    </row>
    <row r="332" spans="1:18" ht="14.5" customHeight="1" x14ac:dyDescent="0.35">
      <c r="A332" s="123" t="s">
        <v>1052</v>
      </c>
      <c r="B332" s="124" t="s">
        <v>586</v>
      </c>
      <c r="C332" s="121" t="s">
        <v>48</v>
      </c>
      <c r="D332" s="121">
        <v>3</v>
      </c>
      <c r="E332" s="120" t="s">
        <v>1054</v>
      </c>
      <c r="F332" s="6" t="s">
        <v>25</v>
      </c>
      <c r="G332" s="143">
        <v>6175000</v>
      </c>
      <c r="H332" s="121" t="s">
        <v>730</v>
      </c>
      <c r="I332" s="166" t="s">
        <v>27</v>
      </c>
      <c r="J332" s="166" t="s">
        <v>27</v>
      </c>
      <c r="K332" s="166" t="s">
        <v>27</v>
      </c>
      <c r="L332" s="6" t="s">
        <v>28</v>
      </c>
      <c r="M332" s="122"/>
      <c r="N332" s="122"/>
      <c r="O332" s="122" t="s">
        <v>756</v>
      </c>
      <c r="P332" s="22" t="s">
        <v>1055</v>
      </c>
      <c r="Q332" s="83">
        <f t="shared" si="5"/>
        <v>2022</v>
      </c>
      <c r="R332" s="125">
        <v>45694</v>
      </c>
    </row>
    <row r="333" spans="1:18" ht="14.5" customHeight="1" x14ac:dyDescent="0.35">
      <c r="A333" s="123" t="s">
        <v>1052</v>
      </c>
      <c r="B333" s="124" t="s">
        <v>586</v>
      </c>
      <c r="C333" s="121" t="s">
        <v>48</v>
      </c>
      <c r="D333" s="121">
        <v>3</v>
      </c>
      <c r="E333" s="120" t="s">
        <v>1056</v>
      </c>
      <c r="F333" s="6" t="s">
        <v>25</v>
      </c>
      <c r="G333" s="143">
        <v>45000</v>
      </c>
      <c r="H333" s="121" t="s">
        <v>730</v>
      </c>
      <c r="I333" s="166" t="s">
        <v>27</v>
      </c>
      <c r="J333" s="166" t="s">
        <v>27</v>
      </c>
      <c r="K333" s="166" t="s">
        <v>27</v>
      </c>
      <c r="L333" s="6" t="s">
        <v>28</v>
      </c>
      <c r="M333" s="122"/>
      <c r="N333" s="122"/>
      <c r="O333" s="122" t="s">
        <v>756</v>
      </c>
      <c r="P333" s="22" t="s">
        <v>1055</v>
      </c>
      <c r="Q333" s="83">
        <f t="shared" si="5"/>
        <v>2022</v>
      </c>
      <c r="R333" s="125">
        <v>45694</v>
      </c>
    </row>
    <row r="334" spans="1:18" ht="14.5" hidden="1" customHeight="1" x14ac:dyDescent="0.35">
      <c r="A334" s="123" t="s">
        <v>1057</v>
      </c>
      <c r="B334" s="124" t="s">
        <v>444</v>
      </c>
      <c r="C334" s="121" t="s">
        <v>37</v>
      </c>
      <c r="D334" s="121" t="s">
        <v>766</v>
      </c>
      <c r="E334" s="120" t="s">
        <v>1058</v>
      </c>
      <c r="F334" s="6" t="s">
        <v>25</v>
      </c>
      <c r="G334" s="143">
        <v>100000</v>
      </c>
      <c r="H334" s="121" t="s">
        <v>709</v>
      </c>
      <c r="I334" s="163" t="s">
        <v>27</v>
      </c>
      <c r="J334" s="163" t="s">
        <v>27</v>
      </c>
      <c r="K334" s="163" t="s">
        <v>27</v>
      </c>
      <c r="L334" s="163" t="s">
        <v>27</v>
      </c>
      <c r="M334" s="163" t="s">
        <v>27</v>
      </c>
      <c r="N334" s="163" t="s">
        <v>27</v>
      </c>
      <c r="O334" s="122" t="s">
        <v>709</v>
      </c>
      <c r="P334" s="116" t="s">
        <v>710</v>
      </c>
      <c r="Q334" s="83">
        <f t="shared" si="5"/>
        <v>2023</v>
      </c>
      <c r="R334" s="106"/>
    </row>
    <row r="335" spans="1:18" ht="14.5" hidden="1" customHeight="1" x14ac:dyDescent="0.35">
      <c r="A335" s="123" t="s">
        <v>1057</v>
      </c>
      <c r="B335" s="124" t="s">
        <v>444</v>
      </c>
      <c r="C335" s="121" t="s">
        <v>37</v>
      </c>
      <c r="D335" s="121">
        <v>2</v>
      </c>
      <c r="E335" s="120" t="s">
        <v>912</v>
      </c>
      <c r="F335" s="6" t="s">
        <v>25</v>
      </c>
      <c r="G335" s="143">
        <v>48000</v>
      </c>
      <c r="H335" s="121" t="s">
        <v>730</v>
      </c>
      <c r="I335" s="122" t="s">
        <v>27</v>
      </c>
      <c r="J335" s="122" t="s">
        <v>27</v>
      </c>
      <c r="K335" s="122" t="s">
        <v>27</v>
      </c>
      <c r="L335" s="122" t="s">
        <v>27</v>
      </c>
      <c r="M335" s="122" t="s">
        <v>27</v>
      </c>
      <c r="N335" s="122" t="s">
        <v>27</v>
      </c>
      <c r="O335" s="122" t="s">
        <v>709</v>
      </c>
      <c r="P335" s="116"/>
      <c r="Q335" s="83">
        <f t="shared" si="5"/>
        <v>2023</v>
      </c>
      <c r="R335" s="125"/>
    </row>
    <row r="336" spans="1:18" ht="14.5" hidden="1" customHeight="1" x14ac:dyDescent="0.35">
      <c r="A336" s="123" t="s">
        <v>1059</v>
      </c>
      <c r="B336" s="124" t="s">
        <v>568</v>
      </c>
      <c r="C336" s="121" t="s">
        <v>37</v>
      </c>
      <c r="D336" s="121" t="s">
        <v>667</v>
      </c>
      <c r="E336" s="120" t="s">
        <v>753</v>
      </c>
      <c r="F336" s="6" t="s">
        <v>25</v>
      </c>
      <c r="G336" s="143">
        <v>160000</v>
      </c>
      <c r="H336" s="121" t="s">
        <v>709</v>
      </c>
      <c r="I336" s="163" t="s">
        <v>27</v>
      </c>
      <c r="J336" s="163" t="s">
        <v>27</v>
      </c>
      <c r="K336" s="163" t="s">
        <v>27</v>
      </c>
      <c r="L336" s="163" t="s">
        <v>27</v>
      </c>
      <c r="M336" s="163" t="s">
        <v>27</v>
      </c>
      <c r="N336" s="163" t="s">
        <v>27</v>
      </c>
      <c r="O336" s="122" t="s">
        <v>709</v>
      </c>
      <c r="P336" s="22" t="s">
        <v>710</v>
      </c>
      <c r="Q336" s="83">
        <f t="shared" si="5"/>
        <v>2022</v>
      </c>
      <c r="R336" s="106"/>
    </row>
    <row r="337" spans="1:18" ht="14.5" hidden="1" customHeight="1" x14ac:dyDescent="0.35">
      <c r="A337" s="118" t="s">
        <v>1060</v>
      </c>
      <c r="B337" s="88" t="s">
        <v>1061</v>
      </c>
      <c r="C337" s="119" t="s">
        <v>23</v>
      </c>
      <c r="D337" s="119">
        <v>1</v>
      </c>
      <c r="E337" s="120" t="s">
        <v>1062</v>
      </c>
      <c r="F337" s="20" t="s">
        <v>25</v>
      </c>
      <c r="G337" s="143">
        <v>54140</v>
      </c>
      <c r="H337" s="119" t="s">
        <v>709</v>
      </c>
      <c r="I337" s="163" t="s">
        <v>27</v>
      </c>
      <c r="J337" s="163" t="s">
        <v>27</v>
      </c>
      <c r="K337" s="163" t="s">
        <v>27</v>
      </c>
      <c r="L337" s="163" t="s">
        <v>27</v>
      </c>
      <c r="M337" s="163" t="s">
        <v>27</v>
      </c>
      <c r="N337" s="163" t="s">
        <v>27</v>
      </c>
      <c r="O337" s="122" t="s">
        <v>709</v>
      </c>
      <c r="P337" s="22" t="s">
        <v>710</v>
      </c>
      <c r="Q337" s="83">
        <f t="shared" si="5"/>
        <v>2022</v>
      </c>
      <c r="R337" s="106"/>
    </row>
    <row r="338" spans="1:18" ht="14.5" hidden="1" customHeight="1" x14ac:dyDescent="0.35">
      <c r="A338" s="123" t="s">
        <v>1063</v>
      </c>
      <c r="B338" s="124" t="s">
        <v>562</v>
      </c>
      <c r="C338" s="121" t="s">
        <v>37</v>
      </c>
      <c r="D338" s="121">
        <v>1</v>
      </c>
      <c r="E338" s="120" t="s">
        <v>1064</v>
      </c>
      <c r="F338" s="6" t="s">
        <v>25</v>
      </c>
      <c r="G338" s="143">
        <v>29000</v>
      </c>
      <c r="H338" s="121" t="s">
        <v>749</v>
      </c>
      <c r="I338" s="162"/>
      <c r="J338" s="162"/>
      <c r="K338" s="162"/>
      <c r="L338" s="162"/>
      <c r="M338" s="162"/>
      <c r="N338" s="162"/>
      <c r="O338" s="122" t="s">
        <v>664</v>
      </c>
      <c r="P338" s="116"/>
      <c r="Q338" s="83">
        <f t="shared" si="5"/>
        <v>2022</v>
      </c>
      <c r="R338" s="106"/>
    </row>
    <row r="339" spans="1:18" ht="14.5" hidden="1" customHeight="1" x14ac:dyDescent="0.35">
      <c r="A339" s="123" t="s">
        <v>1063</v>
      </c>
      <c r="B339" s="124" t="s">
        <v>562</v>
      </c>
      <c r="C339" s="121" t="s">
        <v>37</v>
      </c>
      <c r="D339" s="121">
        <v>2</v>
      </c>
      <c r="E339" s="120" t="s">
        <v>1065</v>
      </c>
      <c r="F339" s="6" t="s">
        <v>25</v>
      </c>
      <c r="G339" s="143">
        <v>-18000</v>
      </c>
      <c r="H339" s="121" t="s">
        <v>709</v>
      </c>
      <c r="I339" s="163" t="s">
        <v>27</v>
      </c>
      <c r="J339" s="163" t="s">
        <v>27</v>
      </c>
      <c r="K339" s="163" t="s">
        <v>27</v>
      </c>
      <c r="L339" s="163" t="s">
        <v>27</v>
      </c>
      <c r="M339" s="163" t="s">
        <v>27</v>
      </c>
      <c r="N339" s="163" t="s">
        <v>27</v>
      </c>
      <c r="O339" s="122" t="s">
        <v>709</v>
      </c>
      <c r="P339" s="116" t="s">
        <v>1066</v>
      </c>
      <c r="Q339" s="83">
        <f t="shared" si="5"/>
        <v>2022</v>
      </c>
      <c r="R339" s="106"/>
    </row>
    <row r="340" spans="1:18" ht="14.5" hidden="1" customHeight="1" x14ac:dyDescent="0.35">
      <c r="A340" s="118" t="s">
        <v>551</v>
      </c>
      <c r="B340" s="88" t="s">
        <v>1067</v>
      </c>
      <c r="C340" s="119" t="s">
        <v>23</v>
      </c>
      <c r="D340" s="119">
        <v>1</v>
      </c>
      <c r="E340" s="120" t="s">
        <v>1068</v>
      </c>
      <c r="F340" s="6" t="s">
        <v>25</v>
      </c>
      <c r="G340" s="143">
        <v>296000</v>
      </c>
      <c r="H340" s="121" t="s">
        <v>663</v>
      </c>
      <c r="I340" s="162"/>
      <c r="J340" s="162"/>
      <c r="K340" s="162"/>
      <c r="L340" s="162"/>
      <c r="M340" s="162"/>
      <c r="N340" s="162"/>
      <c r="O340" s="122" t="s">
        <v>664</v>
      </c>
      <c r="P340" s="22"/>
      <c r="Q340" s="83">
        <f t="shared" si="5"/>
        <v>2022</v>
      </c>
      <c r="R340" s="106"/>
    </row>
    <row r="341" spans="1:18" ht="14.5" hidden="1" customHeight="1" x14ac:dyDescent="0.35">
      <c r="A341" s="118" t="s">
        <v>551</v>
      </c>
      <c r="B341" s="88" t="s">
        <v>1067</v>
      </c>
      <c r="C341" s="119" t="s">
        <v>23</v>
      </c>
      <c r="D341" s="119" t="s">
        <v>667</v>
      </c>
      <c r="E341" s="120" t="s">
        <v>1068</v>
      </c>
      <c r="F341" s="6" t="s">
        <v>25</v>
      </c>
      <c r="G341" s="143">
        <v>85000</v>
      </c>
      <c r="H341" s="119" t="s">
        <v>709</v>
      </c>
      <c r="I341" s="163" t="s">
        <v>27</v>
      </c>
      <c r="J341" s="163" t="s">
        <v>27</v>
      </c>
      <c r="K341" s="163" t="s">
        <v>27</v>
      </c>
      <c r="L341" s="163" t="s">
        <v>27</v>
      </c>
      <c r="M341" s="163" t="s">
        <v>27</v>
      </c>
      <c r="N341" s="163" t="s">
        <v>27</v>
      </c>
      <c r="O341" s="122" t="s">
        <v>709</v>
      </c>
      <c r="P341" s="22" t="s">
        <v>710</v>
      </c>
      <c r="Q341" s="83">
        <f t="shared" si="5"/>
        <v>2022</v>
      </c>
      <c r="R341" s="106"/>
    </row>
    <row r="342" spans="1:18" ht="14.5" hidden="1" customHeight="1" x14ac:dyDescent="0.35">
      <c r="A342" s="118" t="s">
        <v>551</v>
      </c>
      <c r="B342" s="88" t="s">
        <v>1067</v>
      </c>
      <c r="C342" s="119" t="s">
        <v>23</v>
      </c>
      <c r="D342" s="119">
        <v>2</v>
      </c>
      <c r="E342" s="120" t="s">
        <v>1069</v>
      </c>
      <c r="F342" s="6" t="s">
        <v>25</v>
      </c>
      <c r="G342" s="143">
        <v>21600</v>
      </c>
      <c r="H342" s="121" t="s">
        <v>663</v>
      </c>
      <c r="I342" s="162"/>
      <c r="J342" s="162"/>
      <c r="K342" s="162"/>
      <c r="L342" s="162"/>
      <c r="M342" s="162"/>
      <c r="N342" s="162"/>
      <c r="O342" s="122" t="s">
        <v>664</v>
      </c>
      <c r="P342" s="22"/>
      <c r="Q342" s="83">
        <f t="shared" si="5"/>
        <v>2022</v>
      </c>
      <c r="R342" s="106"/>
    </row>
    <row r="343" spans="1:18" ht="14.5" customHeight="1" x14ac:dyDescent="0.35">
      <c r="A343" s="118" t="s">
        <v>551</v>
      </c>
      <c r="B343" s="88" t="s">
        <v>1067</v>
      </c>
      <c r="C343" s="119" t="s">
        <v>23</v>
      </c>
      <c r="D343" s="119">
        <v>3</v>
      </c>
      <c r="E343" s="120" t="s">
        <v>1070</v>
      </c>
      <c r="F343" s="6" t="s">
        <v>25</v>
      </c>
      <c r="G343" s="143">
        <v>225000</v>
      </c>
      <c r="H343" s="119" t="s">
        <v>1071</v>
      </c>
      <c r="I343" s="163" t="s">
        <v>27</v>
      </c>
      <c r="J343" s="163" t="s">
        <v>27</v>
      </c>
      <c r="K343" s="163" t="s">
        <v>27</v>
      </c>
      <c r="L343" s="163" t="s">
        <v>27</v>
      </c>
      <c r="M343" s="163" t="s">
        <v>27</v>
      </c>
      <c r="N343" s="6" t="s">
        <v>28</v>
      </c>
      <c r="O343" s="122" t="s">
        <v>756</v>
      </c>
      <c r="P343" s="164" t="s">
        <v>1072</v>
      </c>
      <c r="Q343" s="83">
        <f t="shared" si="5"/>
        <v>2022</v>
      </c>
      <c r="R343" s="125">
        <v>45310</v>
      </c>
    </row>
    <row r="344" spans="1:18" ht="14.5" customHeight="1" x14ac:dyDescent="0.35">
      <c r="A344" s="118" t="s">
        <v>551</v>
      </c>
      <c r="B344" s="88" t="s">
        <v>1067</v>
      </c>
      <c r="C344" s="119" t="s">
        <v>23</v>
      </c>
      <c r="D344" s="119">
        <v>4</v>
      </c>
      <c r="E344" s="120" t="s">
        <v>1073</v>
      </c>
      <c r="F344" s="6" t="s">
        <v>25</v>
      </c>
      <c r="G344" s="143">
        <v>1113566.3999999999</v>
      </c>
      <c r="H344" s="119" t="s">
        <v>1071</v>
      </c>
      <c r="I344" s="163" t="s">
        <v>27</v>
      </c>
      <c r="J344" s="163" t="s">
        <v>27</v>
      </c>
      <c r="K344" s="163" t="s">
        <v>27</v>
      </c>
      <c r="L344" s="6" t="s">
        <v>28</v>
      </c>
      <c r="M344" s="122"/>
      <c r="N344" s="122"/>
      <c r="O344" s="122" t="s">
        <v>756</v>
      </c>
      <c r="P344" s="164" t="s">
        <v>1000</v>
      </c>
      <c r="Q344" s="83">
        <f t="shared" si="5"/>
        <v>2022</v>
      </c>
      <c r="R344" s="128">
        <v>45310</v>
      </c>
    </row>
    <row r="345" spans="1:18" ht="14.5" customHeight="1" x14ac:dyDescent="0.35">
      <c r="A345" s="118" t="s">
        <v>551</v>
      </c>
      <c r="B345" s="88" t="s">
        <v>1067</v>
      </c>
      <c r="C345" s="119" t="s">
        <v>23</v>
      </c>
      <c r="D345" s="119">
        <v>0</v>
      </c>
      <c r="E345" s="120" t="s">
        <v>1074</v>
      </c>
      <c r="F345" s="6" t="s">
        <v>25</v>
      </c>
      <c r="G345" s="143">
        <v>432839.2</v>
      </c>
      <c r="H345" s="119" t="s">
        <v>1071</v>
      </c>
      <c r="I345" s="163" t="s">
        <v>27</v>
      </c>
      <c r="J345" s="163" t="s">
        <v>27</v>
      </c>
      <c r="K345" s="163" t="s">
        <v>27</v>
      </c>
      <c r="L345" s="6" t="s">
        <v>28</v>
      </c>
      <c r="M345" s="122"/>
      <c r="N345" s="122"/>
      <c r="O345" s="122" t="s">
        <v>756</v>
      </c>
      <c r="P345" s="164" t="s">
        <v>1000</v>
      </c>
      <c r="Q345" s="83">
        <f t="shared" si="5"/>
        <v>2022</v>
      </c>
      <c r="R345" s="128">
        <v>45310</v>
      </c>
    </row>
    <row r="346" spans="1:18" ht="14.5" hidden="1" customHeight="1" x14ac:dyDescent="0.35">
      <c r="A346" s="118" t="s">
        <v>551</v>
      </c>
      <c r="B346" s="88" t="s">
        <v>1067</v>
      </c>
      <c r="C346" s="119" t="s">
        <v>23</v>
      </c>
      <c r="D346" s="119" t="s">
        <v>1075</v>
      </c>
      <c r="E346" s="120" t="s">
        <v>1076</v>
      </c>
      <c r="F346" s="6" t="s">
        <v>25</v>
      </c>
      <c r="G346" s="143">
        <v>396839.2</v>
      </c>
      <c r="H346" s="121" t="s">
        <v>663</v>
      </c>
      <c r="I346" s="162"/>
      <c r="J346" s="162"/>
      <c r="K346" s="162"/>
      <c r="L346" s="162"/>
      <c r="M346" s="162"/>
      <c r="N346" s="162"/>
      <c r="O346" s="122" t="s">
        <v>664</v>
      </c>
      <c r="P346" s="22"/>
      <c r="Q346" s="83">
        <f t="shared" si="5"/>
        <v>2022</v>
      </c>
      <c r="R346" s="106"/>
    </row>
    <row r="347" spans="1:18" ht="14.5" hidden="1" customHeight="1" x14ac:dyDescent="0.35">
      <c r="A347" s="118" t="s">
        <v>551</v>
      </c>
      <c r="B347" s="88" t="s">
        <v>1067</v>
      </c>
      <c r="C347" s="119" t="s">
        <v>23</v>
      </c>
      <c r="D347" s="119">
        <v>5</v>
      </c>
      <c r="E347" s="120" t="s">
        <v>1077</v>
      </c>
      <c r="F347" s="6" t="s">
        <v>25</v>
      </c>
      <c r="G347" s="143">
        <v>396000</v>
      </c>
      <c r="H347" s="121" t="s">
        <v>663</v>
      </c>
      <c r="I347" s="162"/>
      <c r="J347" s="162"/>
      <c r="K347" s="162"/>
      <c r="L347" s="162"/>
      <c r="M347" s="162"/>
      <c r="N347" s="162"/>
      <c r="O347" s="122" t="s">
        <v>664</v>
      </c>
      <c r="P347" s="22"/>
      <c r="Q347" s="83">
        <f t="shared" si="5"/>
        <v>2022</v>
      </c>
      <c r="R347" s="106"/>
    </row>
    <row r="348" spans="1:18" ht="14.5" customHeight="1" x14ac:dyDescent="0.35">
      <c r="A348" s="118" t="s">
        <v>551</v>
      </c>
      <c r="B348" s="88" t="s">
        <v>1067</v>
      </c>
      <c r="C348" s="119" t="s">
        <v>23</v>
      </c>
      <c r="D348" s="119" t="s">
        <v>732</v>
      </c>
      <c r="E348" s="120" t="s">
        <v>1077</v>
      </c>
      <c r="F348" s="6" t="s">
        <v>25</v>
      </c>
      <c r="G348" s="143">
        <v>396000</v>
      </c>
      <c r="H348" s="119" t="s">
        <v>1071</v>
      </c>
      <c r="I348" s="163" t="s">
        <v>27</v>
      </c>
      <c r="J348" s="163" t="s">
        <v>27</v>
      </c>
      <c r="K348" s="163" t="s">
        <v>27</v>
      </c>
      <c r="L348" s="163" t="s">
        <v>27</v>
      </c>
      <c r="M348" s="163" t="s">
        <v>27</v>
      </c>
      <c r="N348" s="6" t="s">
        <v>28</v>
      </c>
      <c r="O348" s="122" t="s">
        <v>756</v>
      </c>
      <c r="P348" s="164" t="s">
        <v>1072</v>
      </c>
      <c r="Q348" s="83">
        <f t="shared" si="5"/>
        <v>2022</v>
      </c>
      <c r="R348" s="125">
        <v>45541</v>
      </c>
    </row>
    <row r="349" spans="1:18" ht="14.5" hidden="1" customHeight="1" x14ac:dyDescent="0.35">
      <c r="A349" s="118" t="s">
        <v>551</v>
      </c>
      <c r="B349" s="88" t="s">
        <v>1067</v>
      </c>
      <c r="C349" s="119" t="s">
        <v>23</v>
      </c>
      <c r="D349" s="119">
        <v>6</v>
      </c>
      <c r="E349" s="120" t="s">
        <v>1078</v>
      </c>
      <c r="F349" s="6" t="s">
        <v>25</v>
      </c>
      <c r="G349" s="143">
        <v>171600</v>
      </c>
      <c r="H349" s="119" t="s">
        <v>709</v>
      </c>
      <c r="I349" s="163" t="s">
        <v>27</v>
      </c>
      <c r="J349" s="163" t="s">
        <v>27</v>
      </c>
      <c r="K349" s="163" t="s">
        <v>27</v>
      </c>
      <c r="L349" s="163" t="s">
        <v>27</v>
      </c>
      <c r="M349" s="163" t="s">
        <v>27</v>
      </c>
      <c r="N349" s="163" t="s">
        <v>27</v>
      </c>
      <c r="O349" s="122" t="s">
        <v>709</v>
      </c>
      <c r="P349" s="22" t="s">
        <v>710</v>
      </c>
      <c r="Q349" s="83">
        <f t="shared" si="5"/>
        <v>2022</v>
      </c>
      <c r="R349" s="106"/>
    </row>
    <row r="350" spans="1:18" ht="14.5" hidden="1" customHeight="1" x14ac:dyDescent="0.35">
      <c r="A350" s="118" t="s">
        <v>551</v>
      </c>
      <c r="B350" s="88" t="s">
        <v>1067</v>
      </c>
      <c r="C350" s="119" t="s">
        <v>23</v>
      </c>
      <c r="D350" s="119">
        <v>7</v>
      </c>
      <c r="E350" s="120" t="s">
        <v>1079</v>
      </c>
      <c r="F350" s="6" t="s">
        <v>25</v>
      </c>
      <c r="G350" s="143">
        <v>51480</v>
      </c>
      <c r="H350" s="121" t="s">
        <v>663</v>
      </c>
      <c r="I350" s="162"/>
      <c r="J350" s="162"/>
      <c r="K350" s="162"/>
      <c r="L350" s="162"/>
      <c r="M350" s="162"/>
      <c r="N350" s="162"/>
      <c r="O350" s="122" t="s">
        <v>664</v>
      </c>
      <c r="P350" s="22"/>
      <c r="Q350" s="83">
        <f t="shared" si="5"/>
        <v>2022</v>
      </c>
      <c r="R350" s="106"/>
    </row>
    <row r="351" spans="1:18" ht="14.5" hidden="1" customHeight="1" x14ac:dyDescent="0.35">
      <c r="A351" s="118" t="s">
        <v>551</v>
      </c>
      <c r="B351" s="88" t="s">
        <v>1067</v>
      </c>
      <c r="C351" s="119" t="s">
        <v>23</v>
      </c>
      <c r="D351" s="119">
        <v>8</v>
      </c>
      <c r="E351" s="120" t="s">
        <v>1080</v>
      </c>
      <c r="F351" s="6" t="s">
        <v>25</v>
      </c>
      <c r="G351" s="143">
        <v>30000</v>
      </c>
      <c r="H351" s="121" t="s">
        <v>663</v>
      </c>
      <c r="I351" s="162"/>
      <c r="J351" s="162"/>
      <c r="K351" s="162"/>
      <c r="L351" s="162"/>
      <c r="M351" s="162"/>
      <c r="N351" s="162"/>
      <c r="O351" s="122" t="s">
        <v>664</v>
      </c>
      <c r="P351" s="22"/>
      <c r="Q351" s="83">
        <f t="shared" si="5"/>
        <v>2022</v>
      </c>
      <c r="R351" s="106"/>
    </row>
    <row r="352" spans="1:18" ht="14.5" hidden="1" customHeight="1" x14ac:dyDescent="0.35">
      <c r="A352" s="118" t="s">
        <v>551</v>
      </c>
      <c r="B352" s="88" t="s">
        <v>1067</v>
      </c>
      <c r="C352" s="119" t="s">
        <v>23</v>
      </c>
      <c r="D352" s="119" t="s">
        <v>688</v>
      </c>
      <c r="E352" s="120" t="s">
        <v>1081</v>
      </c>
      <c r="F352" s="6" t="s">
        <v>25</v>
      </c>
      <c r="G352" s="143">
        <v>28600</v>
      </c>
      <c r="H352" s="121" t="s">
        <v>663</v>
      </c>
      <c r="I352" s="162"/>
      <c r="J352" s="162"/>
      <c r="K352" s="162"/>
      <c r="L352" s="162"/>
      <c r="M352" s="162"/>
      <c r="N352" s="162"/>
      <c r="O352" s="122" t="s">
        <v>664</v>
      </c>
      <c r="P352" s="22"/>
      <c r="Q352" s="83">
        <f t="shared" si="5"/>
        <v>2022</v>
      </c>
      <c r="R352" s="106"/>
    </row>
    <row r="353" spans="1:18" ht="14.5" customHeight="1" x14ac:dyDescent="0.35">
      <c r="A353" s="123" t="s">
        <v>1082</v>
      </c>
      <c r="B353" s="124" t="s">
        <v>1083</v>
      </c>
      <c r="C353" s="121" t="s">
        <v>37</v>
      </c>
      <c r="D353" s="121">
        <v>2</v>
      </c>
      <c r="E353" s="120" t="s">
        <v>753</v>
      </c>
      <c r="F353" s="6" t="s">
        <v>25</v>
      </c>
      <c r="G353" s="143">
        <v>39000</v>
      </c>
      <c r="H353" s="121" t="s">
        <v>781</v>
      </c>
      <c r="I353" s="122" t="s">
        <v>27</v>
      </c>
      <c r="J353" s="122" t="s">
        <v>27</v>
      </c>
      <c r="K353" s="122" t="s">
        <v>27</v>
      </c>
      <c r="L353" s="6" t="s">
        <v>28</v>
      </c>
      <c r="M353" s="122"/>
      <c r="N353" s="122"/>
      <c r="O353" s="122" t="s">
        <v>756</v>
      </c>
      <c r="P353" s="6" t="s">
        <v>1084</v>
      </c>
      <c r="Q353" s="83">
        <f t="shared" si="5"/>
        <v>2022</v>
      </c>
      <c r="R353" s="125">
        <v>45737</v>
      </c>
    </row>
    <row r="354" spans="1:18" ht="14.5" hidden="1" customHeight="1" x14ac:dyDescent="0.35">
      <c r="A354" s="123" t="s">
        <v>1085</v>
      </c>
      <c r="B354" s="124" t="s">
        <v>502</v>
      </c>
      <c r="C354" s="121" t="s">
        <v>48</v>
      </c>
      <c r="D354" s="121">
        <v>1</v>
      </c>
      <c r="E354" s="120" t="s">
        <v>1086</v>
      </c>
      <c r="F354" s="6" t="s">
        <v>25</v>
      </c>
      <c r="G354" s="143">
        <v>75000</v>
      </c>
      <c r="H354" s="121" t="s">
        <v>709</v>
      </c>
      <c r="I354" s="163" t="s">
        <v>27</v>
      </c>
      <c r="J354" s="163" t="s">
        <v>27</v>
      </c>
      <c r="K354" s="163" t="s">
        <v>27</v>
      </c>
      <c r="L354" s="163" t="s">
        <v>27</v>
      </c>
      <c r="M354" s="163" t="s">
        <v>27</v>
      </c>
      <c r="N354" s="163" t="s">
        <v>27</v>
      </c>
      <c r="O354" s="122" t="s">
        <v>709</v>
      </c>
      <c r="P354" s="75"/>
      <c r="Q354" s="83">
        <f t="shared" si="5"/>
        <v>2023</v>
      </c>
      <c r="R354" s="106"/>
    </row>
    <row r="355" spans="1:18" ht="14.5" hidden="1" customHeight="1" x14ac:dyDescent="0.35">
      <c r="A355" s="123" t="s">
        <v>1085</v>
      </c>
      <c r="B355" s="124" t="s">
        <v>502</v>
      </c>
      <c r="C355" s="121" t="s">
        <v>48</v>
      </c>
      <c r="D355" s="121">
        <v>2</v>
      </c>
      <c r="E355" s="120" t="s">
        <v>1050</v>
      </c>
      <c r="F355" s="6" t="s">
        <v>25</v>
      </c>
      <c r="G355" s="143">
        <v>186000</v>
      </c>
      <c r="H355" s="121" t="s">
        <v>709</v>
      </c>
      <c r="I355" s="163" t="s">
        <v>27</v>
      </c>
      <c r="J355" s="163" t="s">
        <v>27</v>
      </c>
      <c r="K355" s="163" t="s">
        <v>27</v>
      </c>
      <c r="L355" s="163" t="s">
        <v>27</v>
      </c>
      <c r="M355" s="163" t="s">
        <v>27</v>
      </c>
      <c r="N355" s="163" t="s">
        <v>27</v>
      </c>
      <c r="O355" s="122" t="s">
        <v>709</v>
      </c>
      <c r="P355" s="75"/>
      <c r="Q355" s="83">
        <f t="shared" si="5"/>
        <v>2023</v>
      </c>
      <c r="R355" s="106"/>
    </row>
    <row r="356" spans="1:18" ht="14.5" hidden="1" customHeight="1" x14ac:dyDescent="0.35">
      <c r="A356" s="123" t="s">
        <v>1085</v>
      </c>
      <c r="B356" s="124" t="s">
        <v>502</v>
      </c>
      <c r="C356" s="121" t="s">
        <v>48</v>
      </c>
      <c r="D356" s="121">
        <v>3</v>
      </c>
      <c r="E356" s="120" t="s">
        <v>1050</v>
      </c>
      <c r="F356" s="6" t="s">
        <v>25</v>
      </c>
      <c r="G356" s="143">
        <v>49875</v>
      </c>
      <c r="H356" s="121" t="s">
        <v>726</v>
      </c>
      <c r="I356" s="122" t="s">
        <v>27</v>
      </c>
      <c r="J356" s="122" t="s">
        <v>27</v>
      </c>
      <c r="K356" s="122" t="s">
        <v>27</v>
      </c>
      <c r="L356" s="122" t="s">
        <v>27</v>
      </c>
      <c r="M356" s="122" t="s">
        <v>27</v>
      </c>
      <c r="N356" s="122" t="s">
        <v>27</v>
      </c>
      <c r="O356" s="122" t="s">
        <v>745</v>
      </c>
      <c r="P356" s="75"/>
      <c r="Q356" s="83">
        <f t="shared" si="5"/>
        <v>2023</v>
      </c>
      <c r="R356" s="106"/>
    </row>
    <row r="357" spans="1:18" ht="14.5" hidden="1" customHeight="1" x14ac:dyDescent="0.35">
      <c r="A357" s="123" t="s">
        <v>1085</v>
      </c>
      <c r="B357" s="124" t="s">
        <v>502</v>
      </c>
      <c r="C357" s="121" t="s">
        <v>48</v>
      </c>
      <c r="D357" s="121">
        <v>4</v>
      </c>
      <c r="E357" s="120" t="s">
        <v>1087</v>
      </c>
      <c r="F357" s="6" t="s">
        <v>25</v>
      </c>
      <c r="G357" s="143">
        <v>139682</v>
      </c>
      <c r="H357" s="121" t="s">
        <v>781</v>
      </c>
      <c r="I357" s="122" t="s">
        <v>27</v>
      </c>
      <c r="J357" s="122" t="s">
        <v>27</v>
      </c>
      <c r="K357" s="122" t="s">
        <v>27</v>
      </c>
      <c r="L357" s="122" t="s">
        <v>27</v>
      </c>
      <c r="M357" s="122" t="s">
        <v>27</v>
      </c>
      <c r="N357" s="122" t="s">
        <v>27</v>
      </c>
      <c r="O357" s="122" t="s">
        <v>745</v>
      </c>
      <c r="P357" s="75"/>
      <c r="Q357" s="83">
        <f t="shared" si="5"/>
        <v>2023</v>
      </c>
      <c r="R357" s="106"/>
    </row>
    <row r="358" spans="1:18" ht="14.5" hidden="1" customHeight="1" x14ac:dyDescent="0.35">
      <c r="A358" s="123" t="s">
        <v>1088</v>
      </c>
      <c r="B358" s="124" t="s">
        <v>1089</v>
      </c>
      <c r="C358" s="121" t="s">
        <v>37</v>
      </c>
      <c r="D358" s="121">
        <v>1</v>
      </c>
      <c r="E358" s="120" t="s">
        <v>753</v>
      </c>
      <c r="F358" s="6" t="s">
        <v>25</v>
      </c>
      <c r="G358" s="143">
        <v>74400</v>
      </c>
      <c r="H358" s="121" t="s">
        <v>749</v>
      </c>
      <c r="I358" s="162"/>
      <c r="J358" s="162"/>
      <c r="K358" s="162"/>
      <c r="L358" s="162"/>
      <c r="M358" s="162"/>
      <c r="N358" s="162"/>
      <c r="O358" s="122" t="s">
        <v>664</v>
      </c>
      <c r="P358" s="22"/>
      <c r="Q358" s="83">
        <f t="shared" si="5"/>
        <v>2023</v>
      </c>
      <c r="R358" s="106"/>
    </row>
    <row r="359" spans="1:18" ht="14.5" hidden="1" customHeight="1" x14ac:dyDescent="0.35">
      <c r="A359" s="123" t="s">
        <v>1090</v>
      </c>
      <c r="B359" s="124" t="s">
        <v>1091</v>
      </c>
      <c r="C359" s="119" t="s">
        <v>61</v>
      </c>
      <c r="D359" s="121">
        <v>1</v>
      </c>
      <c r="E359" s="120" t="s">
        <v>1092</v>
      </c>
      <c r="F359" s="6" t="s">
        <v>44</v>
      </c>
      <c r="G359" s="143">
        <v>72000</v>
      </c>
      <c r="H359" s="119" t="s">
        <v>709</v>
      </c>
      <c r="I359" s="163" t="s">
        <v>27</v>
      </c>
      <c r="J359" s="163" t="s">
        <v>27</v>
      </c>
      <c r="K359" s="163" t="s">
        <v>27</v>
      </c>
      <c r="L359" s="163" t="s">
        <v>27</v>
      </c>
      <c r="M359" s="163" t="s">
        <v>27</v>
      </c>
      <c r="N359" s="163" t="s">
        <v>27</v>
      </c>
      <c r="O359" s="122" t="s">
        <v>709</v>
      </c>
      <c r="P359" s="22" t="s">
        <v>1093</v>
      </c>
      <c r="Q359" s="83">
        <f t="shared" si="5"/>
        <v>2023</v>
      </c>
      <c r="R359" s="106"/>
    </row>
    <row r="360" spans="1:18" ht="14.5" hidden="1" customHeight="1" x14ac:dyDescent="0.35">
      <c r="A360" s="118" t="s">
        <v>1094</v>
      </c>
      <c r="B360" s="88" t="s">
        <v>492</v>
      </c>
      <c r="C360" s="119" t="s">
        <v>82</v>
      </c>
      <c r="D360" s="119">
        <v>3</v>
      </c>
      <c r="E360" s="120" t="s">
        <v>1095</v>
      </c>
      <c r="F360" s="6" t="s">
        <v>25</v>
      </c>
      <c r="G360" s="143">
        <v>356000</v>
      </c>
      <c r="H360" s="119" t="s">
        <v>709</v>
      </c>
      <c r="I360" s="163" t="s">
        <v>27</v>
      </c>
      <c r="J360" s="163" t="s">
        <v>27</v>
      </c>
      <c r="K360" s="163" t="s">
        <v>27</v>
      </c>
      <c r="L360" s="163" t="s">
        <v>27</v>
      </c>
      <c r="M360" s="163" t="s">
        <v>27</v>
      </c>
      <c r="N360" s="163" t="s">
        <v>27</v>
      </c>
      <c r="O360" s="122" t="s">
        <v>709</v>
      </c>
      <c r="P360" s="22" t="s">
        <v>710</v>
      </c>
      <c r="Q360" s="83">
        <f t="shared" si="5"/>
        <v>2023</v>
      </c>
      <c r="R360" s="106"/>
    </row>
    <row r="361" spans="1:18" ht="14.5" hidden="1" customHeight="1" x14ac:dyDescent="0.35">
      <c r="A361" s="118" t="s">
        <v>1094</v>
      </c>
      <c r="B361" s="88" t="s">
        <v>492</v>
      </c>
      <c r="C361" s="119" t="s">
        <v>82</v>
      </c>
      <c r="D361" s="119">
        <v>4</v>
      </c>
      <c r="E361" s="120" t="s">
        <v>1096</v>
      </c>
      <c r="F361" s="6" t="s">
        <v>25</v>
      </c>
      <c r="G361" s="143">
        <v>380000</v>
      </c>
      <c r="H361" s="121" t="s">
        <v>663</v>
      </c>
      <c r="I361" s="162"/>
      <c r="J361" s="162"/>
      <c r="K361" s="162"/>
      <c r="L361" s="162"/>
      <c r="M361" s="162"/>
      <c r="N361" s="162"/>
      <c r="O361" s="122" t="s">
        <v>664</v>
      </c>
      <c r="P361" s="22"/>
      <c r="Q361" s="83">
        <f t="shared" si="5"/>
        <v>2023</v>
      </c>
      <c r="R361" s="106"/>
    </row>
    <row r="362" spans="1:18" ht="14.5" hidden="1" customHeight="1" x14ac:dyDescent="0.35">
      <c r="A362" s="123" t="s">
        <v>1097</v>
      </c>
      <c r="B362" s="124" t="s">
        <v>1098</v>
      </c>
      <c r="C362" s="121" t="s">
        <v>48</v>
      </c>
      <c r="D362" s="121">
        <v>1</v>
      </c>
      <c r="E362" s="120" t="s">
        <v>1099</v>
      </c>
      <c r="F362" s="6" t="s">
        <v>25</v>
      </c>
      <c r="G362" s="143">
        <v>855000</v>
      </c>
      <c r="H362" s="121" t="s">
        <v>749</v>
      </c>
      <c r="I362" s="162"/>
      <c r="J362" s="162"/>
      <c r="K362" s="162"/>
      <c r="L362" s="162"/>
      <c r="M362" s="162"/>
      <c r="N362" s="162"/>
      <c r="O362" s="122" t="s">
        <v>664</v>
      </c>
      <c r="P362" s="75"/>
      <c r="Q362" s="83">
        <f t="shared" si="5"/>
        <v>2023</v>
      </c>
      <c r="R362" s="106"/>
    </row>
    <row r="363" spans="1:18" ht="14.5" hidden="1" customHeight="1" x14ac:dyDescent="0.35">
      <c r="A363" s="123" t="s">
        <v>470</v>
      </c>
      <c r="B363" s="124" t="s">
        <v>471</v>
      </c>
      <c r="C363" s="121" t="s">
        <v>48</v>
      </c>
      <c r="D363" s="121">
        <v>1</v>
      </c>
      <c r="E363" s="120" t="s">
        <v>1100</v>
      </c>
      <c r="F363" s="6" t="s">
        <v>25</v>
      </c>
      <c r="G363" s="143">
        <v>440948</v>
      </c>
      <c r="H363" s="121" t="s">
        <v>663</v>
      </c>
      <c r="I363" s="162"/>
      <c r="J363" s="162"/>
      <c r="K363" s="162"/>
      <c r="L363" s="162"/>
      <c r="M363" s="162"/>
      <c r="N363" s="162"/>
      <c r="O363" s="122" t="s">
        <v>664</v>
      </c>
      <c r="P363" s="22"/>
      <c r="Q363" s="83">
        <f t="shared" si="5"/>
        <v>2023</v>
      </c>
      <c r="R363" s="106"/>
    </row>
    <row r="364" spans="1:18" ht="14.5" hidden="1" customHeight="1" x14ac:dyDescent="0.35">
      <c r="A364" s="123" t="s">
        <v>470</v>
      </c>
      <c r="B364" s="124" t="s">
        <v>471</v>
      </c>
      <c r="C364" s="121" t="s">
        <v>48</v>
      </c>
      <c r="D364" s="121" t="s">
        <v>667</v>
      </c>
      <c r="E364" s="120" t="s">
        <v>1100</v>
      </c>
      <c r="F364" s="6" t="s">
        <v>25</v>
      </c>
      <c r="G364" s="143">
        <v>332166</v>
      </c>
      <c r="H364" s="121" t="s">
        <v>726</v>
      </c>
      <c r="I364" s="122" t="s">
        <v>27</v>
      </c>
      <c r="J364" s="122" t="s">
        <v>27</v>
      </c>
      <c r="K364" s="122" t="s">
        <v>27</v>
      </c>
      <c r="L364" s="122" t="s">
        <v>27</v>
      </c>
      <c r="M364" s="122" t="s">
        <v>27</v>
      </c>
      <c r="N364" s="122" t="s">
        <v>27</v>
      </c>
      <c r="O364" s="122" t="s">
        <v>745</v>
      </c>
      <c r="P364" s="75"/>
      <c r="Q364" s="83">
        <f t="shared" si="5"/>
        <v>2023</v>
      </c>
      <c r="R364" s="106"/>
    </row>
    <row r="365" spans="1:18" ht="14.5" hidden="1" customHeight="1" x14ac:dyDescent="0.35">
      <c r="A365" s="123" t="s">
        <v>1101</v>
      </c>
      <c r="B365" s="124" t="s">
        <v>1102</v>
      </c>
      <c r="C365" s="121" t="s">
        <v>48</v>
      </c>
      <c r="D365" s="121">
        <v>1</v>
      </c>
      <c r="E365" s="120" t="s">
        <v>1103</v>
      </c>
      <c r="F365" s="20" t="s">
        <v>25</v>
      </c>
      <c r="G365" s="143">
        <v>221025</v>
      </c>
      <c r="H365" s="121" t="s">
        <v>726</v>
      </c>
      <c r="I365" s="122" t="s">
        <v>27</v>
      </c>
      <c r="J365" s="122" t="s">
        <v>27</v>
      </c>
      <c r="K365" s="122" t="s">
        <v>27</v>
      </c>
      <c r="L365" s="122" t="s">
        <v>27</v>
      </c>
      <c r="M365" s="122" t="s">
        <v>27</v>
      </c>
      <c r="N365" s="122" t="s">
        <v>27</v>
      </c>
      <c r="O365" s="122" t="s">
        <v>745</v>
      </c>
      <c r="P365" s="75"/>
      <c r="Q365" s="83">
        <f t="shared" si="5"/>
        <v>2023</v>
      </c>
      <c r="R365" s="106"/>
    </row>
    <row r="366" spans="1:18" ht="14.5" hidden="1" customHeight="1" x14ac:dyDescent="0.35">
      <c r="A366" s="123" t="s">
        <v>1101</v>
      </c>
      <c r="B366" s="124" t="s">
        <v>1102</v>
      </c>
      <c r="C366" s="121" t="s">
        <v>48</v>
      </c>
      <c r="D366" s="121">
        <v>2</v>
      </c>
      <c r="E366" s="120" t="s">
        <v>1104</v>
      </c>
      <c r="F366" s="20" t="s">
        <v>25</v>
      </c>
      <c r="G366" s="143">
        <v>26500</v>
      </c>
      <c r="H366" s="121" t="s">
        <v>726</v>
      </c>
      <c r="I366" s="122" t="s">
        <v>27</v>
      </c>
      <c r="J366" s="122" t="s">
        <v>27</v>
      </c>
      <c r="K366" s="122" t="s">
        <v>27</v>
      </c>
      <c r="L366" s="122" t="s">
        <v>27</v>
      </c>
      <c r="M366" s="122" t="s">
        <v>27</v>
      </c>
      <c r="N366" s="122" t="s">
        <v>27</v>
      </c>
      <c r="O366" s="122" t="s">
        <v>745</v>
      </c>
      <c r="P366" s="75"/>
      <c r="Q366" s="83">
        <f t="shared" si="5"/>
        <v>2023</v>
      </c>
      <c r="R366" s="106"/>
    </row>
    <row r="367" spans="1:18" ht="14.5" hidden="1" customHeight="1" x14ac:dyDescent="0.35">
      <c r="A367" s="123" t="s">
        <v>1101</v>
      </c>
      <c r="B367" s="124" t="s">
        <v>1102</v>
      </c>
      <c r="C367" s="121" t="s">
        <v>48</v>
      </c>
      <c r="D367" s="121">
        <v>3</v>
      </c>
      <c r="E367" s="120" t="s">
        <v>1050</v>
      </c>
      <c r="F367" s="20" t="s">
        <v>25</v>
      </c>
      <c r="G367" s="143">
        <v>15000</v>
      </c>
      <c r="H367" s="121" t="s">
        <v>726</v>
      </c>
      <c r="I367" s="122" t="s">
        <v>27</v>
      </c>
      <c r="J367" s="122" t="s">
        <v>27</v>
      </c>
      <c r="K367" s="122" t="s">
        <v>27</v>
      </c>
      <c r="L367" s="122" t="s">
        <v>27</v>
      </c>
      <c r="M367" s="122" t="s">
        <v>27</v>
      </c>
      <c r="N367" s="122" t="s">
        <v>27</v>
      </c>
      <c r="O367" s="122" t="s">
        <v>745</v>
      </c>
      <c r="P367" s="75"/>
      <c r="Q367" s="83">
        <f t="shared" si="5"/>
        <v>2023</v>
      </c>
      <c r="R367" s="106"/>
    </row>
    <row r="368" spans="1:18" ht="14.5" hidden="1" customHeight="1" x14ac:dyDescent="0.35">
      <c r="A368" s="118" t="s">
        <v>1105</v>
      </c>
      <c r="B368" s="88" t="s">
        <v>464</v>
      </c>
      <c r="C368" s="119" t="s">
        <v>82</v>
      </c>
      <c r="D368" s="119">
        <v>1</v>
      </c>
      <c r="E368" s="126" t="s">
        <v>1106</v>
      </c>
      <c r="F368" s="20" t="s">
        <v>25</v>
      </c>
      <c r="G368" s="143">
        <v>145974</v>
      </c>
      <c r="H368" s="119" t="s">
        <v>709</v>
      </c>
      <c r="I368" s="163" t="s">
        <v>27</v>
      </c>
      <c r="J368" s="163" t="s">
        <v>27</v>
      </c>
      <c r="K368" s="163" t="s">
        <v>27</v>
      </c>
      <c r="L368" s="163" t="s">
        <v>27</v>
      </c>
      <c r="M368" s="163" t="s">
        <v>27</v>
      </c>
      <c r="N368" s="163" t="s">
        <v>27</v>
      </c>
      <c r="O368" s="129" t="s">
        <v>709</v>
      </c>
      <c r="P368" s="165" t="s">
        <v>709</v>
      </c>
      <c r="Q368" s="83">
        <f t="shared" si="5"/>
        <v>2023</v>
      </c>
      <c r="R368" s="106"/>
    </row>
    <row r="369" spans="1:18" ht="14.5" hidden="1" customHeight="1" x14ac:dyDescent="0.35">
      <c r="A369" s="118" t="s">
        <v>1107</v>
      </c>
      <c r="B369" s="88" t="s">
        <v>461</v>
      </c>
      <c r="C369" s="119" t="s">
        <v>23</v>
      </c>
      <c r="D369" s="119">
        <v>1</v>
      </c>
      <c r="E369" s="120" t="s">
        <v>1108</v>
      </c>
      <c r="F369" s="6" t="s">
        <v>77</v>
      </c>
      <c r="G369" s="143">
        <v>332800</v>
      </c>
      <c r="H369" s="121" t="s">
        <v>663</v>
      </c>
      <c r="I369" s="162"/>
      <c r="J369" s="162"/>
      <c r="K369" s="162"/>
      <c r="L369" s="162"/>
      <c r="M369" s="162"/>
      <c r="N369" s="162"/>
      <c r="O369" s="122" t="s">
        <v>664</v>
      </c>
      <c r="P369" s="22"/>
      <c r="Q369" s="83">
        <f t="shared" si="5"/>
        <v>2023</v>
      </c>
      <c r="R369" s="106"/>
    </row>
    <row r="370" spans="1:18" ht="14.5" hidden="1" customHeight="1" x14ac:dyDescent="0.35">
      <c r="A370" s="118" t="s">
        <v>1107</v>
      </c>
      <c r="B370" s="88" t="s">
        <v>461</v>
      </c>
      <c r="C370" s="119" t="s">
        <v>23</v>
      </c>
      <c r="D370" s="119" t="s">
        <v>667</v>
      </c>
      <c r="E370" s="120" t="s">
        <v>753</v>
      </c>
      <c r="F370" s="6" t="s">
        <v>77</v>
      </c>
      <c r="G370" s="143">
        <v>224316</v>
      </c>
      <c r="H370" s="119" t="s">
        <v>709</v>
      </c>
      <c r="I370" s="163" t="s">
        <v>27</v>
      </c>
      <c r="J370" s="163" t="s">
        <v>27</v>
      </c>
      <c r="K370" s="163" t="s">
        <v>27</v>
      </c>
      <c r="L370" s="163" t="s">
        <v>27</v>
      </c>
      <c r="M370" s="163" t="s">
        <v>27</v>
      </c>
      <c r="N370" s="163" t="s">
        <v>27</v>
      </c>
      <c r="O370" s="122" t="s">
        <v>709</v>
      </c>
      <c r="P370" s="165"/>
      <c r="Q370" s="83">
        <f t="shared" si="5"/>
        <v>2023</v>
      </c>
      <c r="R370" s="106"/>
    </row>
    <row r="371" spans="1:18" ht="14.5" hidden="1" customHeight="1" x14ac:dyDescent="0.35">
      <c r="A371" s="118" t="s">
        <v>1107</v>
      </c>
      <c r="B371" s="88" t="s">
        <v>461</v>
      </c>
      <c r="C371" s="119" t="s">
        <v>23</v>
      </c>
      <c r="D371" s="119">
        <v>0</v>
      </c>
      <c r="E371" s="120" t="s">
        <v>42</v>
      </c>
      <c r="F371" s="6" t="s">
        <v>77</v>
      </c>
      <c r="G371" s="143">
        <v>83560</v>
      </c>
      <c r="H371" s="119" t="s">
        <v>709</v>
      </c>
      <c r="I371" s="163" t="s">
        <v>27</v>
      </c>
      <c r="J371" s="163" t="s">
        <v>27</v>
      </c>
      <c r="K371" s="163" t="s">
        <v>27</v>
      </c>
      <c r="L371" s="163" t="s">
        <v>27</v>
      </c>
      <c r="M371" s="163" t="s">
        <v>27</v>
      </c>
      <c r="N371" s="163" t="s">
        <v>27</v>
      </c>
      <c r="O371" s="122" t="s">
        <v>709</v>
      </c>
      <c r="P371" s="165"/>
      <c r="Q371" s="83">
        <f t="shared" si="5"/>
        <v>2023</v>
      </c>
      <c r="R371" s="106"/>
    </row>
    <row r="372" spans="1:18" ht="14.5" hidden="1" customHeight="1" x14ac:dyDescent="0.35">
      <c r="A372" s="123" t="s">
        <v>1109</v>
      </c>
      <c r="B372" s="124" t="s">
        <v>1110</v>
      </c>
      <c r="C372" s="121" t="s">
        <v>116</v>
      </c>
      <c r="D372" s="121">
        <v>1</v>
      </c>
      <c r="E372" s="120" t="s">
        <v>1111</v>
      </c>
      <c r="F372" s="6" t="s">
        <v>25</v>
      </c>
      <c r="G372" s="143">
        <v>40000</v>
      </c>
      <c r="H372" s="121" t="s">
        <v>709</v>
      </c>
      <c r="I372" s="163" t="s">
        <v>27</v>
      </c>
      <c r="J372" s="163" t="s">
        <v>27</v>
      </c>
      <c r="K372" s="163" t="s">
        <v>27</v>
      </c>
      <c r="L372" s="163" t="s">
        <v>27</v>
      </c>
      <c r="M372" s="163" t="s">
        <v>27</v>
      </c>
      <c r="N372" s="163" t="s">
        <v>27</v>
      </c>
      <c r="O372" s="122" t="s">
        <v>709</v>
      </c>
      <c r="P372" s="22" t="s">
        <v>709</v>
      </c>
      <c r="Q372" s="83">
        <f t="shared" si="5"/>
        <v>2023</v>
      </c>
      <c r="R372" s="106"/>
    </row>
    <row r="373" spans="1:18" ht="14.5" hidden="1" customHeight="1" x14ac:dyDescent="0.35">
      <c r="A373" s="123" t="s">
        <v>1109</v>
      </c>
      <c r="B373" s="124" t="s">
        <v>1110</v>
      </c>
      <c r="C373" s="121" t="s">
        <v>116</v>
      </c>
      <c r="D373" s="119">
        <v>0</v>
      </c>
      <c r="E373" s="120" t="s">
        <v>1112</v>
      </c>
      <c r="F373" s="6" t="s">
        <v>25</v>
      </c>
      <c r="G373" s="143">
        <v>30000</v>
      </c>
      <c r="H373" s="121" t="s">
        <v>709</v>
      </c>
      <c r="I373" s="163" t="s">
        <v>27</v>
      </c>
      <c r="J373" s="163" t="s">
        <v>27</v>
      </c>
      <c r="K373" s="163" t="s">
        <v>27</v>
      </c>
      <c r="L373" s="163" t="s">
        <v>27</v>
      </c>
      <c r="M373" s="163" t="s">
        <v>27</v>
      </c>
      <c r="N373" s="163" t="s">
        <v>27</v>
      </c>
      <c r="O373" s="122" t="s">
        <v>709</v>
      </c>
      <c r="P373" s="22" t="s">
        <v>709</v>
      </c>
      <c r="Q373" s="83">
        <f t="shared" si="5"/>
        <v>2023</v>
      </c>
      <c r="R373" s="106"/>
    </row>
    <row r="374" spans="1:18" ht="14.5" hidden="1" customHeight="1" x14ac:dyDescent="0.35">
      <c r="A374" s="123" t="s">
        <v>1109</v>
      </c>
      <c r="B374" s="124" t="s">
        <v>1110</v>
      </c>
      <c r="C374" s="121" t="s">
        <v>116</v>
      </c>
      <c r="D374" s="121">
        <v>2</v>
      </c>
      <c r="E374" s="120" t="s">
        <v>1112</v>
      </c>
      <c r="F374" s="6" t="s">
        <v>25</v>
      </c>
      <c r="G374" s="143">
        <v>30000</v>
      </c>
      <c r="H374" s="121" t="s">
        <v>663</v>
      </c>
      <c r="I374" s="162"/>
      <c r="J374" s="162"/>
      <c r="K374" s="162"/>
      <c r="L374" s="162"/>
      <c r="M374" s="162"/>
      <c r="N374" s="162"/>
      <c r="O374" s="122" t="s">
        <v>664</v>
      </c>
      <c r="P374" s="22"/>
      <c r="Q374" s="83">
        <f t="shared" si="5"/>
        <v>2023</v>
      </c>
      <c r="R374" s="106"/>
    </row>
    <row r="375" spans="1:18" ht="14.5" hidden="1" customHeight="1" x14ac:dyDescent="0.35">
      <c r="A375" s="123" t="s">
        <v>1109</v>
      </c>
      <c r="B375" s="124" t="s">
        <v>1110</v>
      </c>
      <c r="C375" s="121" t="s">
        <v>116</v>
      </c>
      <c r="D375" s="121" t="s">
        <v>755</v>
      </c>
      <c r="E375" s="120" t="s">
        <v>1113</v>
      </c>
      <c r="F375" s="6" t="s">
        <v>25</v>
      </c>
      <c r="G375" s="143">
        <v>60000</v>
      </c>
      <c r="H375" s="121" t="s">
        <v>709</v>
      </c>
      <c r="I375" s="163" t="s">
        <v>27</v>
      </c>
      <c r="J375" s="163" t="s">
        <v>27</v>
      </c>
      <c r="K375" s="163" t="s">
        <v>27</v>
      </c>
      <c r="L375" s="163" t="s">
        <v>27</v>
      </c>
      <c r="M375" s="163" t="s">
        <v>27</v>
      </c>
      <c r="N375" s="163" t="s">
        <v>27</v>
      </c>
      <c r="O375" s="122" t="s">
        <v>709</v>
      </c>
      <c r="P375" s="22" t="s">
        <v>709</v>
      </c>
      <c r="Q375" s="83">
        <f t="shared" si="5"/>
        <v>2023</v>
      </c>
      <c r="R375" s="106"/>
    </row>
    <row r="376" spans="1:18" ht="14.5" hidden="1" customHeight="1" x14ac:dyDescent="0.35">
      <c r="A376" s="123" t="s">
        <v>1114</v>
      </c>
      <c r="B376" s="124" t="s">
        <v>1115</v>
      </c>
      <c r="C376" s="121" t="s">
        <v>37</v>
      </c>
      <c r="D376" s="121">
        <v>1</v>
      </c>
      <c r="E376" s="120" t="s">
        <v>1113</v>
      </c>
      <c r="F376" s="6" t="s">
        <v>25</v>
      </c>
      <c r="G376" s="143">
        <v>70000</v>
      </c>
      <c r="H376" s="121" t="s">
        <v>663</v>
      </c>
      <c r="I376" s="162"/>
      <c r="J376" s="162"/>
      <c r="K376" s="162"/>
      <c r="L376" s="162"/>
      <c r="M376" s="162"/>
      <c r="N376" s="162"/>
      <c r="O376" s="122" t="s">
        <v>664</v>
      </c>
      <c r="P376" s="22"/>
      <c r="Q376" s="83">
        <f t="shared" si="5"/>
        <v>2023</v>
      </c>
      <c r="R376" s="106"/>
    </row>
    <row r="377" spans="1:18" ht="14.5" hidden="1" customHeight="1" x14ac:dyDescent="0.35">
      <c r="A377" s="123" t="s">
        <v>1114</v>
      </c>
      <c r="B377" s="124" t="s">
        <v>1115</v>
      </c>
      <c r="C377" s="121" t="s">
        <v>37</v>
      </c>
      <c r="D377" s="121" t="s">
        <v>667</v>
      </c>
      <c r="E377" s="120" t="s">
        <v>1116</v>
      </c>
      <c r="F377" s="6" t="s">
        <v>25</v>
      </c>
      <c r="G377" s="143">
        <v>334555</v>
      </c>
      <c r="H377" s="121" t="s">
        <v>663</v>
      </c>
      <c r="I377" s="162"/>
      <c r="J377" s="162"/>
      <c r="K377" s="162"/>
      <c r="L377" s="162"/>
      <c r="M377" s="162"/>
      <c r="N377" s="162"/>
      <c r="O377" s="122" t="s">
        <v>664</v>
      </c>
      <c r="P377" s="22"/>
      <c r="Q377" s="83">
        <f t="shared" si="5"/>
        <v>2023</v>
      </c>
      <c r="R377" s="106"/>
    </row>
    <row r="378" spans="1:18" ht="14.5" hidden="1" customHeight="1" x14ac:dyDescent="0.35">
      <c r="A378" s="123" t="s">
        <v>1114</v>
      </c>
      <c r="B378" s="124" t="s">
        <v>1115</v>
      </c>
      <c r="C378" s="121" t="s">
        <v>37</v>
      </c>
      <c r="D378" s="121" t="s">
        <v>766</v>
      </c>
      <c r="E378" s="120" t="s">
        <v>1117</v>
      </c>
      <c r="F378" s="6" t="s">
        <v>25</v>
      </c>
      <c r="G378" s="143">
        <v>604805</v>
      </c>
      <c r="H378" s="121" t="s">
        <v>663</v>
      </c>
      <c r="I378" s="162"/>
      <c r="J378" s="162"/>
      <c r="K378" s="162"/>
      <c r="L378" s="162"/>
      <c r="M378" s="162"/>
      <c r="N378" s="162"/>
      <c r="O378" s="122" t="s">
        <v>664</v>
      </c>
      <c r="P378" s="22"/>
      <c r="Q378" s="83">
        <f t="shared" si="5"/>
        <v>2023</v>
      </c>
      <c r="R378" s="106"/>
    </row>
    <row r="379" spans="1:18" ht="14.5" customHeight="1" x14ac:dyDescent="0.35">
      <c r="A379" s="123" t="s">
        <v>1114</v>
      </c>
      <c r="B379" s="124" t="s">
        <v>426</v>
      </c>
      <c r="C379" s="121" t="s">
        <v>37</v>
      </c>
      <c r="D379" s="121" t="s">
        <v>892</v>
      </c>
      <c r="E379" s="120" t="s">
        <v>1118</v>
      </c>
      <c r="F379" s="6" t="s">
        <v>25</v>
      </c>
      <c r="G379" s="143">
        <v>1893022</v>
      </c>
      <c r="H379" s="121" t="s">
        <v>730</v>
      </c>
      <c r="I379" s="122" t="s">
        <v>27</v>
      </c>
      <c r="J379" s="6" t="s">
        <v>28</v>
      </c>
      <c r="K379" s="122"/>
      <c r="L379" s="122"/>
      <c r="M379" s="122"/>
      <c r="N379" s="122"/>
      <c r="O379" s="122" t="s">
        <v>756</v>
      </c>
      <c r="P379" s="116" t="s">
        <v>1119</v>
      </c>
      <c r="Q379" s="83">
        <f t="shared" si="5"/>
        <v>2023</v>
      </c>
      <c r="R379" s="125">
        <v>45631</v>
      </c>
    </row>
    <row r="380" spans="1:18" ht="14.5" hidden="1" x14ac:dyDescent="0.35">
      <c r="A380" s="123" t="s">
        <v>1114</v>
      </c>
      <c r="B380" s="124" t="s">
        <v>1115</v>
      </c>
      <c r="C380" s="121" t="s">
        <v>37</v>
      </c>
      <c r="D380" s="121">
        <v>2</v>
      </c>
      <c r="E380" s="120" t="s">
        <v>1120</v>
      </c>
      <c r="F380" s="6" t="s">
        <v>25</v>
      </c>
      <c r="G380" s="143">
        <v>389829</v>
      </c>
      <c r="H380" s="121" t="s">
        <v>663</v>
      </c>
      <c r="I380" s="162"/>
      <c r="J380" s="162"/>
      <c r="K380" s="162"/>
      <c r="L380" s="162"/>
      <c r="M380" s="162"/>
      <c r="N380" s="162"/>
      <c r="O380" s="122" t="s">
        <v>664</v>
      </c>
      <c r="P380" s="22"/>
      <c r="Q380" s="83">
        <f t="shared" si="5"/>
        <v>2023</v>
      </c>
      <c r="R380" s="106"/>
    </row>
    <row r="381" spans="1:18" ht="14.5" hidden="1" x14ac:dyDescent="0.35">
      <c r="A381" s="123" t="s">
        <v>1114</v>
      </c>
      <c r="B381" s="124" t="s">
        <v>1115</v>
      </c>
      <c r="C381" s="121" t="s">
        <v>37</v>
      </c>
      <c r="D381" s="121">
        <v>2</v>
      </c>
      <c r="E381" s="120" t="s">
        <v>1120</v>
      </c>
      <c r="F381" s="6" t="s">
        <v>25</v>
      </c>
      <c r="G381" s="143">
        <v>842337</v>
      </c>
      <c r="H381" s="121" t="s">
        <v>663</v>
      </c>
      <c r="I381" s="162"/>
      <c r="J381" s="162"/>
      <c r="K381" s="162"/>
      <c r="L381" s="162"/>
      <c r="M381" s="162"/>
      <c r="N381" s="162"/>
      <c r="O381" s="122" t="s">
        <v>664</v>
      </c>
      <c r="P381" s="22"/>
      <c r="Q381" s="83">
        <f t="shared" si="5"/>
        <v>2023</v>
      </c>
      <c r="R381" s="106"/>
    </row>
    <row r="382" spans="1:18" ht="16" customHeight="1" x14ac:dyDescent="0.35">
      <c r="A382" s="123" t="s">
        <v>1114</v>
      </c>
      <c r="B382" s="124" t="s">
        <v>426</v>
      </c>
      <c r="C382" s="121" t="s">
        <v>37</v>
      </c>
      <c r="D382" s="121" t="s">
        <v>667</v>
      </c>
      <c r="E382" s="120" t="s">
        <v>1121</v>
      </c>
      <c r="F382" s="6" t="s">
        <v>25</v>
      </c>
      <c r="G382" s="143">
        <v>493255</v>
      </c>
      <c r="H382" s="121" t="s">
        <v>1122</v>
      </c>
      <c r="I382" s="122" t="s">
        <v>27</v>
      </c>
      <c r="J382" s="122" t="s">
        <v>27</v>
      </c>
      <c r="K382" s="122" t="s">
        <v>27</v>
      </c>
      <c r="L382" s="122" t="s">
        <v>27</v>
      </c>
      <c r="M382" s="6" t="s">
        <v>28</v>
      </c>
      <c r="N382" s="122"/>
      <c r="O382" s="122" t="s">
        <v>756</v>
      </c>
      <c r="P382" s="22" t="s">
        <v>1123</v>
      </c>
      <c r="Q382" s="83">
        <f t="shared" si="5"/>
        <v>2023</v>
      </c>
      <c r="R382" s="125">
        <v>45804</v>
      </c>
    </row>
    <row r="383" spans="1:18" ht="14.5" hidden="1" customHeight="1" x14ac:dyDescent="0.35">
      <c r="A383" s="123" t="s">
        <v>1114</v>
      </c>
      <c r="B383" s="124" t="s">
        <v>1115</v>
      </c>
      <c r="C383" s="121" t="s">
        <v>37</v>
      </c>
      <c r="D383" s="121">
        <v>3</v>
      </c>
      <c r="E383" s="120" t="s">
        <v>1124</v>
      </c>
      <c r="F383" s="6" t="s">
        <v>25</v>
      </c>
      <c r="G383" s="143">
        <v>243000</v>
      </c>
      <c r="H383" s="121" t="s">
        <v>663</v>
      </c>
      <c r="I383" s="162"/>
      <c r="J383" s="162"/>
      <c r="K383" s="162"/>
      <c r="L383" s="162"/>
      <c r="M383" s="162"/>
      <c r="N383" s="162"/>
      <c r="O383" s="122" t="s">
        <v>664</v>
      </c>
      <c r="P383" s="22"/>
      <c r="Q383" s="83">
        <f t="shared" si="5"/>
        <v>2023</v>
      </c>
      <c r="R383" s="106"/>
    </row>
    <row r="384" spans="1:18" ht="14.5" hidden="1" customHeight="1" x14ac:dyDescent="0.35">
      <c r="A384" s="123" t="s">
        <v>1114</v>
      </c>
      <c r="B384" s="88" t="s">
        <v>426</v>
      </c>
      <c r="C384" s="121" t="s">
        <v>37</v>
      </c>
      <c r="D384" s="121" t="s">
        <v>671</v>
      </c>
      <c r="E384" s="120" t="s">
        <v>1124</v>
      </c>
      <c r="F384" s="6" t="s">
        <v>25</v>
      </c>
      <c r="G384" s="143">
        <v>2034765</v>
      </c>
      <c r="H384" s="121" t="s">
        <v>663</v>
      </c>
      <c r="I384" s="162"/>
      <c r="J384" s="162"/>
      <c r="K384" s="162"/>
      <c r="L384" s="162"/>
      <c r="M384" s="162"/>
      <c r="N384" s="162"/>
      <c r="O384" s="122" t="s">
        <v>664</v>
      </c>
      <c r="P384" s="116"/>
      <c r="Q384" s="83">
        <f t="shared" si="5"/>
        <v>2023</v>
      </c>
      <c r="R384" s="106"/>
    </row>
    <row r="385" spans="1:18" ht="14.5" hidden="1" customHeight="1" x14ac:dyDescent="0.35">
      <c r="A385" s="123" t="s">
        <v>1114</v>
      </c>
      <c r="B385" s="124" t="s">
        <v>1115</v>
      </c>
      <c r="C385" s="121" t="s">
        <v>37</v>
      </c>
      <c r="D385" s="121">
        <v>4</v>
      </c>
      <c r="E385" s="120" t="s">
        <v>1125</v>
      </c>
      <c r="F385" s="6" t="s">
        <v>25</v>
      </c>
      <c r="G385" s="143">
        <v>3072279</v>
      </c>
      <c r="H385" s="121" t="s">
        <v>749</v>
      </c>
      <c r="I385" s="162"/>
      <c r="J385" s="162"/>
      <c r="K385" s="162"/>
      <c r="L385" s="162"/>
      <c r="M385" s="162"/>
      <c r="N385" s="162"/>
      <c r="O385" s="122" t="s">
        <v>664</v>
      </c>
      <c r="P385" s="22"/>
      <c r="Q385" s="83">
        <f t="shared" si="5"/>
        <v>2023</v>
      </c>
      <c r="R385" s="106"/>
    </row>
    <row r="386" spans="1:18" ht="14.5" hidden="1" customHeight="1" x14ac:dyDescent="0.35">
      <c r="A386" s="123" t="s">
        <v>1114</v>
      </c>
      <c r="B386" s="88" t="s">
        <v>426</v>
      </c>
      <c r="C386" s="121" t="s">
        <v>37</v>
      </c>
      <c r="D386" s="121">
        <v>9</v>
      </c>
      <c r="E386" s="120" t="s">
        <v>1126</v>
      </c>
      <c r="F386" s="6" t="s">
        <v>25</v>
      </c>
      <c r="G386" s="143">
        <v>775000</v>
      </c>
      <c r="H386" s="121" t="s">
        <v>663</v>
      </c>
      <c r="I386" s="162"/>
      <c r="J386" s="162"/>
      <c r="K386" s="162"/>
      <c r="L386" s="162"/>
      <c r="M386" s="162"/>
      <c r="N386" s="162"/>
      <c r="O386" s="122" t="s">
        <v>664</v>
      </c>
      <c r="P386" s="116"/>
      <c r="Q386" s="83">
        <f t="shared" si="5"/>
        <v>2023</v>
      </c>
      <c r="R386" s="106"/>
    </row>
    <row r="387" spans="1:18" ht="14.5" hidden="1" customHeight="1" x14ac:dyDescent="0.35">
      <c r="A387" s="123" t="s">
        <v>1114</v>
      </c>
      <c r="B387" s="124" t="s">
        <v>426</v>
      </c>
      <c r="C387" s="121" t="s">
        <v>37</v>
      </c>
      <c r="D387" s="121">
        <v>5</v>
      </c>
      <c r="E387" s="120" t="s">
        <v>1127</v>
      </c>
      <c r="F387" s="6" t="s">
        <v>25</v>
      </c>
      <c r="G387" s="143">
        <v>141240</v>
      </c>
      <c r="H387" s="121" t="s">
        <v>663</v>
      </c>
      <c r="I387" s="162"/>
      <c r="J387" s="162"/>
      <c r="K387" s="162"/>
      <c r="L387" s="162"/>
      <c r="M387" s="162"/>
      <c r="N387" s="162"/>
      <c r="O387" s="122" t="s">
        <v>664</v>
      </c>
      <c r="P387" s="116"/>
      <c r="Q387" s="83">
        <f t="shared" ref="Q387:Q450" si="6">IFERROR(2000+VALUE(LEFT(A387,2)),"")</f>
        <v>2023</v>
      </c>
      <c r="R387" s="106"/>
    </row>
    <row r="388" spans="1:18" ht="14.5" x14ac:dyDescent="0.35">
      <c r="A388" s="123" t="s">
        <v>1114</v>
      </c>
      <c r="B388" s="88" t="s">
        <v>426</v>
      </c>
      <c r="C388" s="121" t="s">
        <v>37</v>
      </c>
      <c r="D388" s="121" t="s">
        <v>664</v>
      </c>
      <c r="E388" s="120" t="s">
        <v>1127</v>
      </c>
      <c r="F388" s="6" t="s">
        <v>25</v>
      </c>
      <c r="G388" s="143">
        <v>197736</v>
      </c>
      <c r="H388" s="121" t="s">
        <v>781</v>
      </c>
      <c r="I388" s="122" t="s">
        <v>27</v>
      </c>
      <c r="J388" s="122" t="s">
        <v>27</v>
      </c>
      <c r="K388" s="122" t="s">
        <v>27</v>
      </c>
      <c r="L388" s="6" t="s">
        <v>28</v>
      </c>
      <c r="M388" s="122"/>
      <c r="N388" s="122"/>
      <c r="O388" s="122" t="s">
        <v>756</v>
      </c>
      <c r="P388" s="116" t="s">
        <v>1128</v>
      </c>
      <c r="Q388" s="83">
        <f t="shared" si="6"/>
        <v>2023</v>
      </c>
      <c r="R388" s="125">
        <v>45826</v>
      </c>
    </row>
    <row r="389" spans="1:18" ht="14.5" hidden="1" customHeight="1" x14ac:dyDescent="0.35">
      <c r="A389" s="123" t="s">
        <v>1114</v>
      </c>
      <c r="B389" s="88" t="s">
        <v>426</v>
      </c>
      <c r="C389" s="121" t="s">
        <v>37</v>
      </c>
      <c r="D389" s="121">
        <v>5</v>
      </c>
      <c r="E389" s="120" t="s">
        <v>1129</v>
      </c>
      <c r="F389" s="6" t="s">
        <v>25</v>
      </c>
      <c r="G389" s="143">
        <v>10348865</v>
      </c>
      <c r="H389" s="121" t="s">
        <v>663</v>
      </c>
      <c r="I389" s="162"/>
      <c r="J389" s="162"/>
      <c r="K389" s="162"/>
      <c r="L389" s="162"/>
      <c r="M389" s="162"/>
      <c r="N389" s="162"/>
      <c r="O389" s="122" t="s">
        <v>664</v>
      </c>
      <c r="P389" s="116"/>
      <c r="Q389" s="83">
        <f t="shared" si="6"/>
        <v>2023</v>
      </c>
      <c r="R389" s="106"/>
    </row>
    <row r="390" spans="1:18" ht="14.5" hidden="1" customHeight="1" x14ac:dyDescent="0.35">
      <c r="A390" s="123" t="s">
        <v>1114</v>
      </c>
      <c r="B390" s="124" t="s">
        <v>1115</v>
      </c>
      <c r="C390" s="121" t="s">
        <v>37</v>
      </c>
      <c r="D390" s="121">
        <v>6</v>
      </c>
      <c r="E390" s="120" t="s">
        <v>1130</v>
      </c>
      <c r="F390" s="6" t="s">
        <v>25</v>
      </c>
      <c r="G390" s="143">
        <v>360938</v>
      </c>
      <c r="H390" s="121" t="s">
        <v>749</v>
      </c>
      <c r="I390" s="162"/>
      <c r="J390" s="162"/>
      <c r="K390" s="162"/>
      <c r="L390" s="162"/>
      <c r="M390" s="162"/>
      <c r="N390" s="162"/>
      <c r="O390" s="122" t="s">
        <v>664</v>
      </c>
      <c r="P390" s="22"/>
      <c r="Q390" s="83">
        <f t="shared" si="6"/>
        <v>2023</v>
      </c>
      <c r="R390" s="106"/>
    </row>
    <row r="391" spans="1:18" ht="14.5" hidden="1" x14ac:dyDescent="0.35">
      <c r="A391" s="123" t="s">
        <v>1114</v>
      </c>
      <c r="B391" s="88" t="s">
        <v>426</v>
      </c>
      <c r="C391" s="121" t="s">
        <v>37</v>
      </c>
      <c r="D391" s="121">
        <v>1</v>
      </c>
      <c r="E391" s="120" t="s">
        <v>1130</v>
      </c>
      <c r="F391" s="6" t="s">
        <v>25</v>
      </c>
      <c r="G391" s="143">
        <v>393750</v>
      </c>
      <c r="H391" s="121" t="s">
        <v>749</v>
      </c>
      <c r="I391" s="162"/>
      <c r="J391" s="162"/>
      <c r="K391" s="162"/>
      <c r="L391" s="162"/>
      <c r="M391" s="162"/>
      <c r="N391" s="162"/>
      <c r="O391" s="122" t="s">
        <v>664</v>
      </c>
      <c r="P391" s="116"/>
      <c r="Q391" s="83">
        <f t="shared" si="6"/>
        <v>2023</v>
      </c>
      <c r="R391" s="106"/>
    </row>
    <row r="392" spans="1:18" ht="14.5" hidden="1" customHeight="1" x14ac:dyDescent="0.35">
      <c r="A392" s="123" t="s">
        <v>1114</v>
      </c>
      <c r="B392" s="124" t="s">
        <v>426</v>
      </c>
      <c r="C392" s="121" t="s">
        <v>37</v>
      </c>
      <c r="D392" s="121" t="s">
        <v>735</v>
      </c>
      <c r="E392" s="120" t="s">
        <v>1131</v>
      </c>
      <c r="F392" s="6" t="s">
        <v>25</v>
      </c>
      <c r="G392" s="143">
        <v>787500</v>
      </c>
      <c r="H392" s="121" t="s">
        <v>663</v>
      </c>
      <c r="I392" s="162"/>
      <c r="J392" s="162"/>
      <c r="K392" s="162"/>
      <c r="L392" s="162"/>
      <c r="M392" s="162"/>
      <c r="N392" s="162"/>
      <c r="O392" s="122" t="s">
        <v>664</v>
      </c>
      <c r="P392" s="116"/>
      <c r="Q392" s="83">
        <f t="shared" si="6"/>
        <v>2023</v>
      </c>
      <c r="R392" s="106"/>
    </row>
    <row r="393" spans="1:18" ht="14.5" hidden="1" customHeight="1" x14ac:dyDescent="0.35">
      <c r="A393" s="123" t="s">
        <v>1114</v>
      </c>
      <c r="B393" s="124" t="s">
        <v>1115</v>
      </c>
      <c r="C393" s="121" t="s">
        <v>37</v>
      </c>
      <c r="D393" s="121">
        <v>7</v>
      </c>
      <c r="E393" s="120" t="s">
        <v>1132</v>
      </c>
      <c r="F393" s="6" t="s">
        <v>25</v>
      </c>
      <c r="G393" s="143">
        <v>450400</v>
      </c>
      <c r="H393" s="121" t="s">
        <v>663</v>
      </c>
      <c r="I393" s="162"/>
      <c r="J393" s="162"/>
      <c r="K393" s="162"/>
      <c r="L393" s="162"/>
      <c r="M393" s="162"/>
      <c r="N393" s="162"/>
      <c r="O393" s="122" t="s">
        <v>664</v>
      </c>
      <c r="P393" s="22"/>
      <c r="Q393" s="83">
        <f t="shared" si="6"/>
        <v>2023</v>
      </c>
      <c r="R393" s="106"/>
    </row>
    <row r="394" spans="1:18" ht="14.5" hidden="1" customHeight="1" x14ac:dyDescent="0.35">
      <c r="A394" s="123" t="s">
        <v>1114</v>
      </c>
      <c r="B394" s="124" t="s">
        <v>1115</v>
      </c>
      <c r="C394" s="121" t="s">
        <v>37</v>
      </c>
      <c r="D394" s="121">
        <v>7</v>
      </c>
      <c r="E394" s="120" t="s">
        <v>1133</v>
      </c>
      <c r="F394" s="6" t="s">
        <v>25</v>
      </c>
      <c r="G394" s="143">
        <v>490000</v>
      </c>
      <c r="H394" s="121" t="s">
        <v>663</v>
      </c>
      <c r="I394" s="162"/>
      <c r="J394" s="162"/>
      <c r="K394" s="162"/>
      <c r="L394" s="162"/>
      <c r="M394" s="162"/>
      <c r="N394" s="162"/>
      <c r="O394" s="122" t="s">
        <v>664</v>
      </c>
      <c r="P394" s="22"/>
      <c r="Q394" s="83">
        <f t="shared" si="6"/>
        <v>2023</v>
      </c>
      <c r="R394" s="106"/>
    </row>
    <row r="395" spans="1:18" ht="14.5" customHeight="1" x14ac:dyDescent="0.35">
      <c r="A395" s="123" t="s">
        <v>1114</v>
      </c>
      <c r="B395" s="124" t="s">
        <v>1115</v>
      </c>
      <c r="C395" s="121" t="s">
        <v>37</v>
      </c>
      <c r="D395" s="121">
        <v>2</v>
      </c>
      <c r="E395" s="120" t="s">
        <v>1134</v>
      </c>
      <c r="F395" s="6" t="s">
        <v>25</v>
      </c>
      <c r="G395" s="143">
        <v>428400</v>
      </c>
      <c r="H395" s="121" t="s">
        <v>1122</v>
      </c>
      <c r="I395" s="122" t="s">
        <v>27</v>
      </c>
      <c r="J395" s="122" t="s">
        <v>27</v>
      </c>
      <c r="K395" s="122" t="s">
        <v>27</v>
      </c>
      <c r="L395" s="122" t="s">
        <v>27</v>
      </c>
      <c r="M395" s="6" t="s">
        <v>28</v>
      </c>
      <c r="N395" s="122"/>
      <c r="O395" s="122" t="s">
        <v>756</v>
      </c>
      <c r="P395" s="6" t="s">
        <v>1123</v>
      </c>
      <c r="Q395" s="83">
        <f t="shared" si="6"/>
        <v>2023</v>
      </c>
      <c r="R395" s="125">
        <v>45847</v>
      </c>
    </row>
    <row r="396" spans="1:18" ht="14.5" customHeight="1" x14ac:dyDescent="0.35">
      <c r="A396" s="123" t="s">
        <v>1114</v>
      </c>
      <c r="B396" s="88" t="s">
        <v>426</v>
      </c>
      <c r="C396" s="121" t="s">
        <v>37</v>
      </c>
      <c r="D396" s="121">
        <v>8</v>
      </c>
      <c r="E396" s="120" t="s">
        <v>1135</v>
      </c>
      <c r="F396" s="6" t="s">
        <v>25</v>
      </c>
      <c r="G396" s="143">
        <v>1972637</v>
      </c>
      <c r="H396" s="121" t="s">
        <v>1122</v>
      </c>
      <c r="I396" s="122" t="s">
        <v>27</v>
      </c>
      <c r="J396" s="122" t="s">
        <v>27</v>
      </c>
      <c r="K396" s="122" t="s">
        <v>27</v>
      </c>
      <c r="L396" s="122" t="s">
        <v>27</v>
      </c>
      <c r="M396" s="6" t="s">
        <v>28</v>
      </c>
      <c r="N396" s="122"/>
      <c r="O396" s="122" t="s">
        <v>756</v>
      </c>
      <c r="P396" s="6" t="s">
        <v>1123</v>
      </c>
      <c r="Q396" s="83">
        <f t="shared" si="6"/>
        <v>2023</v>
      </c>
      <c r="R396" s="125">
        <v>45847</v>
      </c>
    </row>
    <row r="397" spans="1:18" ht="14.5" hidden="1" customHeight="1" x14ac:dyDescent="0.35">
      <c r="A397" s="123" t="s">
        <v>1114</v>
      </c>
      <c r="B397" s="88" t="s">
        <v>426</v>
      </c>
      <c r="C397" s="121" t="s">
        <v>37</v>
      </c>
      <c r="D397" s="121">
        <v>9</v>
      </c>
      <c r="E397" s="120" t="s">
        <v>1126</v>
      </c>
      <c r="F397" s="6" t="s">
        <v>25</v>
      </c>
      <c r="G397" s="144">
        <v>1763723</v>
      </c>
      <c r="H397" s="121" t="s">
        <v>663</v>
      </c>
      <c r="I397" s="162"/>
      <c r="J397" s="162"/>
      <c r="K397" s="162"/>
      <c r="L397" s="162"/>
      <c r="M397" s="162"/>
      <c r="N397" s="162"/>
      <c r="O397" s="122" t="s">
        <v>664</v>
      </c>
      <c r="P397" s="116"/>
      <c r="Q397" s="83">
        <f t="shared" si="6"/>
        <v>2023</v>
      </c>
      <c r="R397" s="106"/>
    </row>
    <row r="398" spans="1:18" ht="14.5" hidden="1" customHeight="1" x14ac:dyDescent="0.35">
      <c r="A398" s="123" t="s">
        <v>1114</v>
      </c>
      <c r="B398" s="88" t="s">
        <v>426</v>
      </c>
      <c r="C398" s="121" t="s">
        <v>37</v>
      </c>
      <c r="D398" s="121">
        <v>5</v>
      </c>
      <c r="E398" s="120" t="s">
        <v>1136</v>
      </c>
      <c r="F398" s="6" t="s">
        <v>25</v>
      </c>
      <c r="G398" s="143">
        <v>8419809</v>
      </c>
      <c r="H398" s="121" t="s">
        <v>663</v>
      </c>
      <c r="I398" s="162"/>
      <c r="J398" s="162"/>
      <c r="K398" s="162"/>
      <c r="L398" s="162"/>
      <c r="M398" s="162"/>
      <c r="N398" s="162"/>
      <c r="O398" s="122" t="s">
        <v>664</v>
      </c>
      <c r="P398" s="116"/>
      <c r="Q398" s="83">
        <f t="shared" si="6"/>
        <v>2023</v>
      </c>
      <c r="R398" s="106"/>
    </row>
    <row r="399" spans="1:18" ht="14.5" customHeight="1" x14ac:dyDescent="0.35">
      <c r="A399" s="123" t="s">
        <v>1114</v>
      </c>
      <c r="B399" s="88" t="s">
        <v>426</v>
      </c>
      <c r="C399" s="121" t="s">
        <v>37</v>
      </c>
      <c r="D399" s="121">
        <v>4</v>
      </c>
      <c r="E399" s="120" t="s">
        <v>1137</v>
      </c>
      <c r="F399" s="6" t="s">
        <v>25</v>
      </c>
      <c r="G399" s="143">
        <v>95000</v>
      </c>
      <c r="H399" s="121" t="s">
        <v>1122</v>
      </c>
      <c r="I399" s="122" t="s">
        <v>27</v>
      </c>
      <c r="J399" s="122" t="s">
        <v>27</v>
      </c>
      <c r="K399" s="122" t="s">
        <v>27</v>
      </c>
      <c r="L399" s="122" t="s">
        <v>27</v>
      </c>
      <c r="M399" s="6" t="s">
        <v>28</v>
      </c>
      <c r="N399" s="122"/>
      <c r="O399" s="122" t="s">
        <v>756</v>
      </c>
      <c r="P399" s="6" t="s">
        <v>1123</v>
      </c>
      <c r="Q399" s="83">
        <f t="shared" si="6"/>
        <v>2023</v>
      </c>
      <c r="R399" s="125">
        <v>46153</v>
      </c>
    </row>
    <row r="400" spans="1:18" ht="14.5" hidden="1" customHeight="1" x14ac:dyDescent="0.35">
      <c r="A400" s="123" t="s">
        <v>1114</v>
      </c>
      <c r="B400" s="88" t="s">
        <v>426</v>
      </c>
      <c r="C400" s="121" t="s">
        <v>37</v>
      </c>
      <c r="D400" s="121">
        <v>6</v>
      </c>
      <c r="E400" s="120" t="s">
        <v>1138</v>
      </c>
      <c r="F400" s="6" t="s">
        <v>25</v>
      </c>
      <c r="G400" s="143">
        <v>200790</v>
      </c>
      <c r="H400" s="121" t="s">
        <v>663</v>
      </c>
      <c r="I400" s="162"/>
      <c r="J400" s="162"/>
      <c r="K400" s="162"/>
      <c r="L400" s="162"/>
      <c r="M400" s="162"/>
      <c r="N400" s="162"/>
      <c r="O400" s="122" t="s">
        <v>664</v>
      </c>
      <c r="P400" s="116"/>
      <c r="Q400" s="83">
        <f t="shared" si="6"/>
        <v>2023</v>
      </c>
      <c r="R400" s="106"/>
    </row>
    <row r="401" spans="1:18" ht="14.5" hidden="1" customHeight="1" x14ac:dyDescent="0.35">
      <c r="A401" s="123" t="s">
        <v>1139</v>
      </c>
      <c r="B401" s="124" t="s">
        <v>1140</v>
      </c>
      <c r="C401" s="121" t="s">
        <v>116</v>
      </c>
      <c r="D401" s="121">
        <v>1</v>
      </c>
      <c r="E401" s="120" t="s">
        <v>1141</v>
      </c>
      <c r="F401" s="6" t="s">
        <v>25</v>
      </c>
      <c r="G401" s="143">
        <v>39600</v>
      </c>
      <c r="H401" s="121" t="s">
        <v>709</v>
      </c>
      <c r="I401" s="163" t="s">
        <v>27</v>
      </c>
      <c r="J401" s="163" t="s">
        <v>27</v>
      </c>
      <c r="K401" s="163" t="s">
        <v>27</v>
      </c>
      <c r="L401" s="163" t="s">
        <v>27</v>
      </c>
      <c r="M401" s="163" t="s">
        <v>27</v>
      </c>
      <c r="N401" s="163" t="s">
        <v>27</v>
      </c>
      <c r="O401" s="122" t="s">
        <v>709</v>
      </c>
      <c r="P401" s="22" t="s">
        <v>710</v>
      </c>
      <c r="Q401" s="83">
        <f t="shared" si="6"/>
        <v>2023</v>
      </c>
      <c r="R401" s="106"/>
    </row>
    <row r="402" spans="1:18" ht="14.5" hidden="1" x14ac:dyDescent="0.35">
      <c r="A402" s="118" t="s">
        <v>1142</v>
      </c>
      <c r="B402" s="88" t="s">
        <v>1143</v>
      </c>
      <c r="C402" s="119" t="s">
        <v>23</v>
      </c>
      <c r="D402" s="119">
        <v>1</v>
      </c>
      <c r="E402" s="120" t="s">
        <v>1144</v>
      </c>
      <c r="F402" s="6" t="s">
        <v>25</v>
      </c>
      <c r="G402" s="143">
        <v>544818</v>
      </c>
      <c r="H402" s="121" t="s">
        <v>663</v>
      </c>
      <c r="I402" s="162"/>
      <c r="J402" s="162"/>
      <c r="K402" s="162"/>
      <c r="L402" s="162"/>
      <c r="M402" s="162"/>
      <c r="N402" s="162"/>
      <c r="O402" s="122" t="s">
        <v>664</v>
      </c>
      <c r="P402" s="22"/>
      <c r="Q402" s="83">
        <f t="shared" si="6"/>
        <v>2024</v>
      </c>
      <c r="R402" s="106"/>
    </row>
    <row r="403" spans="1:18" ht="14.5" hidden="1" customHeight="1" x14ac:dyDescent="0.35">
      <c r="A403" s="118" t="s">
        <v>1142</v>
      </c>
      <c r="B403" s="88" t="s">
        <v>1145</v>
      </c>
      <c r="C403" s="119" t="s">
        <v>23</v>
      </c>
      <c r="D403" s="119" t="s">
        <v>667</v>
      </c>
      <c r="E403" s="120" t="s">
        <v>1146</v>
      </c>
      <c r="F403" s="6" t="s">
        <v>25</v>
      </c>
      <c r="G403" s="143">
        <v>386182</v>
      </c>
      <c r="H403" s="119" t="s">
        <v>709</v>
      </c>
      <c r="I403" s="163" t="s">
        <v>27</v>
      </c>
      <c r="J403" s="163" t="s">
        <v>27</v>
      </c>
      <c r="K403" s="163" t="s">
        <v>27</v>
      </c>
      <c r="L403" s="163" t="s">
        <v>27</v>
      </c>
      <c r="M403" s="163" t="s">
        <v>27</v>
      </c>
      <c r="N403" s="163" t="s">
        <v>27</v>
      </c>
      <c r="O403" s="122" t="s">
        <v>709</v>
      </c>
      <c r="P403" s="22" t="s">
        <v>710</v>
      </c>
      <c r="Q403" s="83">
        <f t="shared" si="6"/>
        <v>2024</v>
      </c>
      <c r="R403" s="106"/>
    </row>
    <row r="404" spans="1:18" ht="14.5" hidden="1" customHeight="1" x14ac:dyDescent="0.35">
      <c r="A404" s="118" t="s">
        <v>1142</v>
      </c>
      <c r="B404" s="88" t="s">
        <v>1145</v>
      </c>
      <c r="C404" s="119" t="s">
        <v>23</v>
      </c>
      <c r="D404" s="119">
        <v>2</v>
      </c>
      <c r="E404" s="120" t="s">
        <v>912</v>
      </c>
      <c r="F404" s="6" t="s">
        <v>25</v>
      </c>
      <c r="G404" s="143">
        <v>134600</v>
      </c>
      <c r="H404" s="121" t="s">
        <v>663</v>
      </c>
      <c r="I404" s="162"/>
      <c r="J404" s="162"/>
      <c r="K404" s="162"/>
      <c r="L404" s="162"/>
      <c r="M404" s="162"/>
      <c r="N404" s="162"/>
      <c r="O404" s="122" t="s">
        <v>664</v>
      </c>
      <c r="P404" s="22"/>
      <c r="Q404" s="83">
        <f t="shared" si="6"/>
        <v>2024</v>
      </c>
      <c r="R404" s="106"/>
    </row>
    <row r="405" spans="1:18" ht="14.5" hidden="1" customHeight="1" x14ac:dyDescent="0.35">
      <c r="A405" s="118" t="s">
        <v>1142</v>
      </c>
      <c r="B405" s="88" t="s">
        <v>1145</v>
      </c>
      <c r="C405" s="119" t="s">
        <v>23</v>
      </c>
      <c r="D405" s="119" t="s">
        <v>769</v>
      </c>
      <c r="E405" s="120" t="s">
        <v>1147</v>
      </c>
      <c r="F405" s="6" t="s">
        <v>25</v>
      </c>
      <c r="G405" s="143">
        <v>270000</v>
      </c>
      <c r="H405" s="119" t="s">
        <v>709</v>
      </c>
      <c r="I405" s="163" t="s">
        <v>27</v>
      </c>
      <c r="J405" s="163" t="s">
        <v>27</v>
      </c>
      <c r="K405" s="163" t="s">
        <v>27</v>
      </c>
      <c r="L405" s="163" t="s">
        <v>27</v>
      </c>
      <c r="M405" s="163" t="s">
        <v>27</v>
      </c>
      <c r="N405" s="163" t="s">
        <v>27</v>
      </c>
      <c r="O405" s="122" t="s">
        <v>709</v>
      </c>
      <c r="P405" s="22" t="s">
        <v>710</v>
      </c>
      <c r="Q405" s="83">
        <f t="shared" si="6"/>
        <v>2024</v>
      </c>
      <c r="R405" s="106"/>
    </row>
    <row r="406" spans="1:18" ht="14.5" hidden="1" customHeight="1" x14ac:dyDescent="0.35">
      <c r="A406" s="118" t="s">
        <v>1142</v>
      </c>
      <c r="B406" s="88" t="s">
        <v>1145</v>
      </c>
      <c r="C406" s="119" t="s">
        <v>23</v>
      </c>
      <c r="D406" s="119">
        <v>4</v>
      </c>
      <c r="E406" s="120" t="s">
        <v>912</v>
      </c>
      <c r="F406" s="6" t="s">
        <v>25</v>
      </c>
      <c r="G406" s="143">
        <v>206800</v>
      </c>
      <c r="H406" s="121" t="s">
        <v>663</v>
      </c>
      <c r="I406" s="162"/>
      <c r="J406" s="162"/>
      <c r="K406" s="162"/>
      <c r="L406" s="162"/>
      <c r="M406" s="162"/>
      <c r="N406" s="162"/>
      <c r="O406" s="122" t="s">
        <v>664</v>
      </c>
      <c r="P406" s="22"/>
      <c r="Q406" s="83">
        <f t="shared" si="6"/>
        <v>2024</v>
      </c>
      <c r="R406" s="106"/>
    </row>
    <row r="407" spans="1:18" ht="14.5" hidden="1" customHeight="1" x14ac:dyDescent="0.35">
      <c r="A407" s="118" t="s">
        <v>1142</v>
      </c>
      <c r="B407" s="88" t="s">
        <v>1145</v>
      </c>
      <c r="C407" s="119" t="s">
        <v>23</v>
      </c>
      <c r="D407" s="119" t="s">
        <v>673</v>
      </c>
      <c r="E407" s="120" t="s">
        <v>912</v>
      </c>
      <c r="F407" s="6" t="s">
        <v>25</v>
      </c>
      <c r="G407" s="143">
        <v>118400</v>
      </c>
      <c r="H407" s="119" t="s">
        <v>709</v>
      </c>
      <c r="I407" s="163" t="s">
        <v>27</v>
      </c>
      <c r="J407" s="163" t="s">
        <v>27</v>
      </c>
      <c r="K407" s="163" t="s">
        <v>27</v>
      </c>
      <c r="L407" s="163" t="s">
        <v>27</v>
      </c>
      <c r="M407" s="163" t="s">
        <v>27</v>
      </c>
      <c r="N407" s="163" t="s">
        <v>27</v>
      </c>
      <c r="O407" s="122" t="s">
        <v>709</v>
      </c>
      <c r="P407" s="22" t="s">
        <v>710</v>
      </c>
      <c r="Q407" s="83">
        <f t="shared" si="6"/>
        <v>2024</v>
      </c>
      <c r="R407" s="106"/>
    </row>
    <row r="408" spans="1:18" ht="14.5" hidden="1" customHeight="1" x14ac:dyDescent="0.35">
      <c r="A408" s="118" t="s">
        <v>1142</v>
      </c>
      <c r="B408" s="88" t="s">
        <v>1145</v>
      </c>
      <c r="C408" s="119" t="s">
        <v>23</v>
      </c>
      <c r="D408" s="119" t="s">
        <v>777</v>
      </c>
      <c r="E408" s="120" t="s">
        <v>912</v>
      </c>
      <c r="F408" s="6" t="s">
        <v>25</v>
      </c>
      <c r="G408" s="143">
        <v>148800</v>
      </c>
      <c r="H408" s="119" t="s">
        <v>709</v>
      </c>
      <c r="I408" s="163" t="s">
        <v>27</v>
      </c>
      <c r="J408" s="163" t="s">
        <v>27</v>
      </c>
      <c r="K408" s="163" t="s">
        <v>27</v>
      </c>
      <c r="L408" s="163" t="s">
        <v>27</v>
      </c>
      <c r="M408" s="163" t="s">
        <v>27</v>
      </c>
      <c r="N408" s="163" t="s">
        <v>27</v>
      </c>
      <c r="O408" s="122" t="s">
        <v>709</v>
      </c>
      <c r="P408" s="22"/>
      <c r="Q408" s="83">
        <f t="shared" si="6"/>
        <v>2024</v>
      </c>
      <c r="R408" s="106"/>
    </row>
    <row r="409" spans="1:18" ht="14.5" hidden="1" x14ac:dyDescent="0.35">
      <c r="A409" s="118" t="s">
        <v>1142</v>
      </c>
      <c r="B409" s="88" t="s">
        <v>1145</v>
      </c>
      <c r="C409" s="119" t="s">
        <v>23</v>
      </c>
      <c r="D409" s="119">
        <v>5</v>
      </c>
      <c r="E409" s="120" t="s">
        <v>1148</v>
      </c>
      <c r="F409" s="6" t="s">
        <v>25</v>
      </c>
      <c r="G409" s="143">
        <v>125136</v>
      </c>
      <c r="H409" s="119" t="s">
        <v>709</v>
      </c>
      <c r="I409" s="163" t="s">
        <v>27</v>
      </c>
      <c r="J409" s="163" t="s">
        <v>27</v>
      </c>
      <c r="K409" s="163" t="s">
        <v>27</v>
      </c>
      <c r="L409" s="163" t="s">
        <v>27</v>
      </c>
      <c r="M409" s="163" t="s">
        <v>27</v>
      </c>
      <c r="N409" s="163" t="s">
        <v>27</v>
      </c>
      <c r="O409" s="122" t="s">
        <v>709</v>
      </c>
      <c r="P409" s="22" t="s">
        <v>710</v>
      </c>
      <c r="Q409" s="83">
        <f t="shared" si="6"/>
        <v>2024</v>
      </c>
      <c r="R409" s="106"/>
    </row>
    <row r="410" spans="1:18" ht="14.5" hidden="1" customHeight="1" x14ac:dyDescent="0.35">
      <c r="A410" s="118" t="s">
        <v>1149</v>
      </c>
      <c r="B410" s="88" t="s">
        <v>1150</v>
      </c>
      <c r="C410" s="119" t="s">
        <v>82</v>
      </c>
      <c r="D410" s="119">
        <v>1</v>
      </c>
      <c r="E410" s="120" t="s">
        <v>1151</v>
      </c>
      <c r="F410" s="6" t="s">
        <v>25</v>
      </c>
      <c r="G410" s="143">
        <v>2160</v>
      </c>
      <c r="H410" s="121" t="s">
        <v>663</v>
      </c>
      <c r="I410" s="162"/>
      <c r="J410" s="162"/>
      <c r="K410" s="162"/>
      <c r="L410" s="162"/>
      <c r="M410" s="162"/>
      <c r="N410" s="162"/>
      <c r="O410" s="122" t="s">
        <v>664</v>
      </c>
      <c r="P410" s="116"/>
      <c r="Q410" s="83">
        <f t="shared" si="6"/>
        <v>2024</v>
      </c>
      <c r="R410" s="106"/>
    </row>
    <row r="411" spans="1:18" ht="14.5" hidden="1" customHeight="1" x14ac:dyDescent="0.35">
      <c r="A411" s="118" t="s">
        <v>1149</v>
      </c>
      <c r="B411" s="88" t="s">
        <v>1152</v>
      </c>
      <c r="C411" s="119" t="s">
        <v>82</v>
      </c>
      <c r="D411" s="119">
        <v>2</v>
      </c>
      <c r="E411" s="126" t="s">
        <v>662</v>
      </c>
      <c r="F411" s="20" t="s">
        <v>25</v>
      </c>
      <c r="G411" s="143">
        <v>20400</v>
      </c>
      <c r="H411" s="119" t="s">
        <v>709</v>
      </c>
      <c r="I411" s="163" t="s">
        <v>27</v>
      </c>
      <c r="J411" s="163" t="s">
        <v>27</v>
      </c>
      <c r="K411" s="163" t="s">
        <v>27</v>
      </c>
      <c r="L411" s="163" t="s">
        <v>27</v>
      </c>
      <c r="M411" s="163" t="s">
        <v>27</v>
      </c>
      <c r="N411" s="163" t="s">
        <v>27</v>
      </c>
      <c r="O411" s="129" t="s">
        <v>709</v>
      </c>
      <c r="P411" s="165" t="s">
        <v>709</v>
      </c>
      <c r="Q411" s="83">
        <f t="shared" si="6"/>
        <v>2024</v>
      </c>
      <c r="R411" s="106"/>
    </row>
    <row r="412" spans="1:18" ht="14.5" hidden="1" customHeight="1" x14ac:dyDescent="0.35">
      <c r="A412" s="118" t="s">
        <v>392</v>
      </c>
      <c r="B412" s="88" t="s">
        <v>1153</v>
      </c>
      <c r="C412" s="119" t="s">
        <v>23</v>
      </c>
      <c r="D412" s="119">
        <v>1</v>
      </c>
      <c r="E412" s="120" t="s">
        <v>1154</v>
      </c>
      <c r="F412" s="6" t="s">
        <v>25</v>
      </c>
      <c r="G412" s="143">
        <v>45000</v>
      </c>
      <c r="H412" s="121" t="s">
        <v>663</v>
      </c>
      <c r="I412" s="162"/>
      <c r="J412" s="162"/>
      <c r="K412" s="162"/>
      <c r="L412" s="162"/>
      <c r="M412" s="162"/>
      <c r="N412" s="162"/>
      <c r="O412" s="122" t="s">
        <v>664</v>
      </c>
      <c r="P412" s="22"/>
      <c r="Q412" s="83">
        <f t="shared" si="6"/>
        <v>2024</v>
      </c>
      <c r="R412" s="106"/>
    </row>
    <row r="413" spans="1:18" ht="14.5" hidden="1" customHeight="1" x14ac:dyDescent="0.35">
      <c r="A413" s="118" t="s">
        <v>392</v>
      </c>
      <c r="B413" s="88" t="s">
        <v>1153</v>
      </c>
      <c r="C413" s="119" t="s">
        <v>23</v>
      </c>
      <c r="D413" s="119">
        <v>2</v>
      </c>
      <c r="E413" s="120" t="s">
        <v>1076</v>
      </c>
      <c r="F413" s="6" t="s">
        <v>25</v>
      </c>
      <c r="G413" s="143">
        <v>400959</v>
      </c>
      <c r="H413" s="121" t="s">
        <v>663</v>
      </c>
      <c r="I413" s="162"/>
      <c r="J413" s="162"/>
      <c r="K413" s="162"/>
      <c r="L413" s="162"/>
      <c r="M413" s="162"/>
      <c r="N413" s="162"/>
      <c r="O413" s="122" t="s">
        <v>664</v>
      </c>
      <c r="P413" s="22"/>
      <c r="Q413" s="83">
        <f t="shared" si="6"/>
        <v>2024</v>
      </c>
      <c r="R413" s="106"/>
    </row>
    <row r="414" spans="1:18" ht="14.5" hidden="1" customHeight="1" x14ac:dyDescent="0.35">
      <c r="A414" s="118" t="s">
        <v>392</v>
      </c>
      <c r="B414" s="88" t="s">
        <v>1153</v>
      </c>
      <c r="C414" s="119" t="s">
        <v>23</v>
      </c>
      <c r="D414" s="119" t="s">
        <v>755</v>
      </c>
      <c r="E414" s="120" t="s">
        <v>1076</v>
      </c>
      <c r="F414" s="6" t="s">
        <v>25</v>
      </c>
      <c r="G414" s="143">
        <v>280671</v>
      </c>
      <c r="H414" s="121" t="s">
        <v>663</v>
      </c>
      <c r="I414" s="162"/>
      <c r="J414" s="162"/>
      <c r="K414" s="162"/>
      <c r="L414" s="162"/>
      <c r="M414" s="162"/>
      <c r="N414" s="162"/>
      <c r="O414" s="122" t="s">
        <v>664</v>
      </c>
      <c r="P414" s="22"/>
      <c r="Q414" s="83">
        <f t="shared" si="6"/>
        <v>2024</v>
      </c>
      <c r="R414" s="106"/>
    </row>
    <row r="415" spans="1:18" ht="14.5" hidden="1" customHeight="1" x14ac:dyDescent="0.35">
      <c r="A415" s="118" t="s">
        <v>392</v>
      </c>
      <c r="B415" s="88" t="s">
        <v>1153</v>
      </c>
      <c r="C415" s="119" t="s">
        <v>23</v>
      </c>
      <c r="D415" s="119" t="s">
        <v>721</v>
      </c>
      <c r="E415" s="120" t="s">
        <v>1076</v>
      </c>
      <c r="F415" s="6" t="s">
        <v>25</v>
      </c>
      <c r="G415" s="143">
        <v>180000</v>
      </c>
      <c r="H415" s="119" t="s">
        <v>709</v>
      </c>
      <c r="I415" s="122" t="s">
        <v>27</v>
      </c>
      <c r="J415" s="122" t="s">
        <v>27</v>
      </c>
      <c r="K415" s="122" t="s">
        <v>27</v>
      </c>
      <c r="L415" s="122" t="s">
        <v>27</v>
      </c>
      <c r="M415" s="122" t="s">
        <v>27</v>
      </c>
      <c r="N415" s="122" t="s">
        <v>27</v>
      </c>
      <c r="O415" s="122" t="s">
        <v>745</v>
      </c>
      <c r="P415" s="22" t="s">
        <v>1155</v>
      </c>
      <c r="Q415" s="83">
        <f t="shared" si="6"/>
        <v>2024</v>
      </c>
      <c r="R415" s="106"/>
    </row>
    <row r="416" spans="1:18" ht="14.5" hidden="1" customHeight="1" x14ac:dyDescent="0.35">
      <c r="A416" s="118" t="s">
        <v>392</v>
      </c>
      <c r="B416" s="88" t="s">
        <v>1153</v>
      </c>
      <c r="C416" s="119" t="s">
        <v>23</v>
      </c>
      <c r="D416" s="119">
        <v>3</v>
      </c>
      <c r="E416" s="120" t="s">
        <v>801</v>
      </c>
      <c r="F416" s="6" t="s">
        <v>25</v>
      </c>
      <c r="G416" s="143">
        <v>30500</v>
      </c>
      <c r="H416" s="119" t="s">
        <v>709</v>
      </c>
      <c r="I416" s="122" t="s">
        <v>27</v>
      </c>
      <c r="J416" s="122" t="s">
        <v>27</v>
      </c>
      <c r="K416" s="122" t="s">
        <v>27</v>
      </c>
      <c r="L416" s="122" t="s">
        <v>27</v>
      </c>
      <c r="M416" s="122" t="s">
        <v>27</v>
      </c>
      <c r="N416" s="122" t="s">
        <v>27</v>
      </c>
      <c r="O416" s="122" t="s">
        <v>745</v>
      </c>
      <c r="P416" s="22"/>
      <c r="Q416" s="83">
        <f t="shared" si="6"/>
        <v>2024</v>
      </c>
      <c r="R416" s="106"/>
    </row>
    <row r="417" spans="1:18" ht="14.5" customHeight="1" x14ac:dyDescent="0.35">
      <c r="A417" s="123" t="s">
        <v>387</v>
      </c>
      <c r="B417" s="124" t="s">
        <v>1156</v>
      </c>
      <c r="C417" s="121" t="s">
        <v>66</v>
      </c>
      <c r="D417" s="121">
        <v>1</v>
      </c>
      <c r="E417" s="120" t="s">
        <v>1157</v>
      </c>
      <c r="F417" s="6" t="s">
        <v>25</v>
      </c>
      <c r="G417" s="143">
        <v>3699.73</v>
      </c>
      <c r="H417" s="121" t="s">
        <v>730</v>
      </c>
      <c r="I417" s="122" t="s">
        <v>27</v>
      </c>
      <c r="J417" s="122" t="s">
        <v>27</v>
      </c>
      <c r="K417" s="122" t="s">
        <v>27</v>
      </c>
      <c r="L417" s="6" t="s">
        <v>28</v>
      </c>
      <c r="M417" s="122"/>
      <c r="N417" s="122"/>
      <c r="O417" s="122" t="s">
        <v>756</v>
      </c>
      <c r="P417" s="6" t="s">
        <v>1158</v>
      </c>
      <c r="Q417" s="83">
        <f t="shared" si="6"/>
        <v>2024</v>
      </c>
      <c r="R417" s="125">
        <v>45794</v>
      </c>
    </row>
    <row r="418" spans="1:18" ht="14.5" hidden="1" x14ac:dyDescent="0.35">
      <c r="A418" s="123" t="s">
        <v>387</v>
      </c>
      <c r="B418" s="124" t="s">
        <v>1156</v>
      </c>
      <c r="C418" s="121" t="s">
        <v>66</v>
      </c>
      <c r="D418" s="121">
        <v>2</v>
      </c>
      <c r="E418" s="120" t="s">
        <v>1159</v>
      </c>
      <c r="F418" s="6" t="s">
        <v>25</v>
      </c>
      <c r="G418" s="143">
        <v>321000</v>
      </c>
      <c r="H418" s="121" t="s">
        <v>663</v>
      </c>
      <c r="I418" s="162"/>
      <c r="J418" s="162"/>
      <c r="K418" s="162"/>
      <c r="L418" s="162"/>
      <c r="M418" s="162"/>
      <c r="N418" s="162"/>
      <c r="O418" s="122" t="s">
        <v>664</v>
      </c>
      <c r="P418" s="22"/>
      <c r="Q418" s="83">
        <f t="shared" si="6"/>
        <v>2024</v>
      </c>
      <c r="R418" s="106"/>
    </row>
    <row r="419" spans="1:18" ht="14.5" hidden="1" customHeight="1" x14ac:dyDescent="0.35">
      <c r="A419" s="123" t="s">
        <v>387</v>
      </c>
      <c r="B419" s="124" t="s">
        <v>1156</v>
      </c>
      <c r="C419" s="121" t="s">
        <v>66</v>
      </c>
      <c r="D419" s="121" t="s">
        <v>721</v>
      </c>
      <c r="E419" s="120" t="s">
        <v>1160</v>
      </c>
      <c r="F419" s="6" t="s">
        <v>25</v>
      </c>
      <c r="G419" s="143">
        <v>660000</v>
      </c>
      <c r="H419" s="121" t="s">
        <v>663</v>
      </c>
      <c r="I419" s="162"/>
      <c r="J419" s="162"/>
      <c r="K419" s="162"/>
      <c r="L419" s="162"/>
      <c r="M419" s="162"/>
      <c r="N419" s="162"/>
      <c r="O419" s="122" t="s">
        <v>664</v>
      </c>
      <c r="P419" s="22"/>
      <c r="Q419" s="83">
        <f t="shared" si="6"/>
        <v>2024</v>
      </c>
      <c r="R419" s="106"/>
    </row>
    <row r="420" spans="1:18" ht="14.5" hidden="1" customHeight="1" x14ac:dyDescent="0.35">
      <c r="A420" s="123" t="s">
        <v>387</v>
      </c>
      <c r="B420" s="124" t="s">
        <v>1156</v>
      </c>
      <c r="C420" s="121" t="s">
        <v>66</v>
      </c>
      <c r="D420" s="121" t="s">
        <v>722</v>
      </c>
      <c r="E420" s="120" t="s">
        <v>1160</v>
      </c>
      <c r="F420" s="6" t="s">
        <v>25</v>
      </c>
      <c r="G420" s="143">
        <v>1291544</v>
      </c>
      <c r="H420" s="121" t="s">
        <v>663</v>
      </c>
      <c r="I420" s="162"/>
      <c r="J420" s="162"/>
      <c r="K420" s="162"/>
      <c r="L420" s="162"/>
      <c r="M420" s="162"/>
      <c r="N420" s="162"/>
      <c r="O420" s="122" t="s">
        <v>664</v>
      </c>
      <c r="P420" s="22"/>
      <c r="Q420" s="83">
        <f t="shared" si="6"/>
        <v>2024</v>
      </c>
      <c r="R420" s="106"/>
    </row>
    <row r="421" spans="1:18" ht="14.5" hidden="1" customHeight="1" x14ac:dyDescent="0.35">
      <c r="A421" s="123" t="s">
        <v>387</v>
      </c>
      <c r="B421" s="124" t="s">
        <v>1156</v>
      </c>
      <c r="C421" s="121" t="s">
        <v>66</v>
      </c>
      <c r="D421" s="121" t="s">
        <v>1161</v>
      </c>
      <c r="E421" s="120" t="s">
        <v>1160</v>
      </c>
      <c r="F421" s="6" t="s">
        <v>25</v>
      </c>
      <c r="G421" s="143"/>
      <c r="H421" s="121" t="s">
        <v>663</v>
      </c>
      <c r="I421" s="162"/>
      <c r="J421" s="162"/>
      <c r="K421" s="162"/>
      <c r="L421" s="162"/>
      <c r="M421" s="162"/>
      <c r="N421" s="162"/>
      <c r="O421" s="122" t="s">
        <v>664</v>
      </c>
      <c r="P421" s="6"/>
      <c r="Q421" s="83">
        <f t="shared" si="6"/>
        <v>2024</v>
      </c>
      <c r="R421" s="106"/>
    </row>
    <row r="422" spans="1:18" ht="14.5" hidden="1" customHeight="1" x14ac:dyDescent="0.35">
      <c r="A422" s="123" t="s">
        <v>1162</v>
      </c>
      <c r="B422" s="124" t="s">
        <v>1163</v>
      </c>
      <c r="C422" s="121" t="s">
        <v>37</v>
      </c>
      <c r="D422" s="121">
        <v>1</v>
      </c>
      <c r="E422" s="120" t="s">
        <v>1164</v>
      </c>
      <c r="F422" s="6" t="s">
        <v>25</v>
      </c>
      <c r="G422" s="143">
        <v>299214</v>
      </c>
      <c r="H422" s="121" t="s">
        <v>663</v>
      </c>
      <c r="I422" s="162"/>
      <c r="J422" s="162"/>
      <c r="K422" s="162"/>
      <c r="L422" s="162"/>
      <c r="M422" s="162"/>
      <c r="N422" s="162"/>
      <c r="O422" s="122" t="s">
        <v>664</v>
      </c>
      <c r="P422" s="22"/>
      <c r="Q422" s="83">
        <f t="shared" si="6"/>
        <v>2024</v>
      </c>
      <c r="R422" s="106"/>
    </row>
    <row r="423" spans="1:18" ht="14.5" hidden="1" customHeight="1" x14ac:dyDescent="0.35">
      <c r="A423" s="123" t="s">
        <v>1162</v>
      </c>
      <c r="B423" s="124" t="s">
        <v>1165</v>
      </c>
      <c r="C423" s="121" t="s">
        <v>37</v>
      </c>
      <c r="D423" s="121" t="s">
        <v>667</v>
      </c>
      <c r="E423" s="120" t="s">
        <v>1164</v>
      </c>
      <c r="F423" s="6" t="s">
        <v>25</v>
      </c>
      <c r="G423" s="143">
        <v>299214</v>
      </c>
      <c r="H423" s="121" t="s">
        <v>663</v>
      </c>
      <c r="I423" s="162"/>
      <c r="J423" s="162"/>
      <c r="K423" s="162"/>
      <c r="L423" s="162"/>
      <c r="M423" s="162"/>
      <c r="N423" s="162"/>
      <c r="O423" s="122" t="s">
        <v>664</v>
      </c>
      <c r="P423" s="116"/>
      <c r="Q423" s="83">
        <f t="shared" si="6"/>
        <v>2024</v>
      </c>
      <c r="R423" s="106"/>
    </row>
    <row r="424" spans="1:18" ht="14.5" hidden="1" customHeight="1" x14ac:dyDescent="0.35">
      <c r="A424" s="123" t="s">
        <v>1166</v>
      </c>
      <c r="B424" s="124" t="s">
        <v>1167</v>
      </c>
      <c r="C424" s="119" t="s">
        <v>61</v>
      </c>
      <c r="D424" s="121">
        <v>1</v>
      </c>
      <c r="E424" s="130" t="s">
        <v>1168</v>
      </c>
      <c r="F424" s="84" t="s">
        <v>25</v>
      </c>
      <c r="G424" s="143">
        <v>133776</v>
      </c>
      <c r="H424" s="121" t="s">
        <v>1169</v>
      </c>
      <c r="I424" s="162"/>
      <c r="J424" s="162"/>
      <c r="K424" s="162"/>
      <c r="L424" s="162"/>
      <c r="M424" s="162"/>
      <c r="N424" s="162"/>
      <c r="O424" s="122" t="s">
        <v>664</v>
      </c>
      <c r="P424" s="116"/>
      <c r="Q424" s="83">
        <f t="shared" si="6"/>
        <v>2024</v>
      </c>
      <c r="R424" s="106"/>
    </row>
    <row r="425" spans="1:18" ht="14.5" hidden="1" customHeight="1" x14ac:dyDescent="0.35">
      <c r="A425" s="123" t="s">
        <v>1170</v>
      </c>
      <c r="B425" s="124" t="s">
        <v>631</v>
      </c>
      <c r="C425" s="121" t="s">
        <v>37</v>
      </c>
      <c r="D425" s="121" t="s">
        <v>667</v>
      </c>
      <c r="E425" s="120" t="s">
        <v>753</v>
      </c>
      <c r="F425" s="6" t="s">
        <v>25</v>
      </c>
      <c r="G425" s="143">
        <v>125000</v>
      </c>
      <c r="H425" s="121" t="s">
        <v>709</v>
      </c>
      <c r="I425" s="163" t="s">
        <v>27</v>
      </c>
      <c r="J425" s="163" t="s">
        <v>27</v>
      </c>
      <c r="K425" s="163" t="s">
        <v>27</v>
      </c>
      <c r="L425" s="163" t="s">
        <v>27</v>
      </c>
      <c r="M425" s="163" t="s">
        <v>27</v>
      </c>
      <c r="N425" s="163" t="s">
        <v>27</v>
      </c>
      <c r="O425" s="122" t="s">
        <v>709</v>
      </c>
      <c r="P425" s="116" t="s">
        <v>710</v>
      </c>
      <c r="Q425" s="83">
        <f t="shared" si="6"/>
        <v>2024</v>
      </c>
      <c r="R425" s="106"/>
    </row>
    <row r="426" spans="1:18" ht="14.5" customHeight="1" x14ac:dyDescent="0.35">
      <c r="A426" s="123" t="s">
        <v>1170</v>
      </c>
      <c r="B426" s="124" t="s">
        <v>631</v>
      </c>
      <c r="C426" s="121" t="s">
        <v>37</v>
      </c>
      <c r="D426" s="121" t="s">
        <v>1171</v>
      </c>
      <c r="E426" s="120" t="s">
        <v>1172</v>
      </c>
      <c r="F426" s="6" t="s">
        <v>25</v>
      </c>
      <c r="G426" s="143">
        <v>275500</v>
      </c>
      <c r="H426" s="121" t="s">
        <v>726</v>
      </c>
      <c r="I426" s="122" t="s">
        <v>27</v>
      </c>
      <c r="J426" s="122" t="s">
        <v>27</v>
      </c>
      <c r="K426" s="122" t="s">
        <v>27</v>
      </c>
      <c r="L426" s="122" t="s">
        <v>27</v>
      </c>
      <c r="M426" s="6" t="s">
        <v>28</v>
      </c>
      <c r="N426" s="122"/>
      <c r="O426" s="122" t="s">
        <v>756</v>
      </c>
      <c r="P426" s="6" t="s">
        <v>1123</v>
      </c>
      <c r="Q426" s="83">
        <f t="shared" si="6"/>
        <v>2024</v>
      </c>
      <c r="R426" s="125">
        <v>45750</v>
      </c>
    </row>
    <row r="427" spans="1:18" ht="14.5" hidden="1" x14ac:dyDescent="0.35">
      <c r="A427" s="123" t="s">
        <v>1170</v>
      </c>
      <c r="B427" s="124" t="s">
        <v>631</v>
      </c>
      <c r="C427" s="121" t="s">
        <v>37</v>
      </c>
      <c r="D427" s="121" t="s">
        <v>1173</v>
      </c>
      <c r="E427" s="120" t="s">
        <v>1172</v>
      </c>
      <c r="F427" s="6" t="s">
        <v>25</v>
      </c>
      <c r="G427" s="143">
        <v>11280</v>
      </c>
      <c r="H427" s="121" t="s">
        <v>709</v>
      </c>
      <c r="I427" s="163" t="s">
        <v>27</v>
      </c>
      <c r="J427" s="163" t="s">
        <v>27</v>
      </c>
      <c r="K427" s="163" t="s">
        <v>27</v>
      </c>
      <c r="L427" s="163" t="s">
        <v>27</v>
      </c>
      <c r="M427" s="163" t="s">
        <v>27</v>
      </c>
      <c r="N427" s="163" t="s">
        <v>27</v>
      </c>
      <c r="O427" s="122" t="s">
        <v>709</v>
      </c>
      <c r="P427" s="22" t="s">
        <v>710</v>
      </c>
      <c r="Q427" s="83">
        <f t="shared" si="6"/>
        <v>2024</v>
      </c>
      <c r="R427" s="106"/>
    </row>
    <row r="428" spans="1:18" ht="14.5" customHeight="1" x14ac:dyDescent="0.35">
      <c r="A428" s="123" t="s">
        <v>1174</v>
      </c>
      <c r="B428" s="124" t="s">
        <v>1175</v>
      </c>
      <c r="C428" s="121" t="s">
        <v>37</v>
      </c>
      <c r="D428" s="121">
        <v>1</v>
      </c>
      <c r="E428" s="120" t="s">
        <v>696</v>
      </c>
      <c r="F428" s="6" t="s">
        <v>25</v>
      </c>
      <c r="G428" s="143">
        <v>60000</v>
      </c>
      <c r="H428" s="121" t="s">
        <v>726</v>
      </c>
      <c r="I428" s="122" t="s">
        <v>27</v>
      </c>
      <c r="J428" s="122" t="s">
        <v>27</v>
      </c>
      <c r="K428" s="122" t="s">
        <v>27</v>
      </c>
      <c r="L428" s="122" t="s">
        <v>27</v>
      </c>
      <c r="M428" s="6" t="s">
        <v>28</v>
      </c>
      <c r="N428" s="122"/>
      <c r="O428" s="122" t="s">
        <v>756</v>
      </c>
      <c r="P428" s="22" t="s">
        <v>871</v>
      </c>
      <c r="Q428" s="83">
        <f t="shared" si="6"/>
        <v>2024</v>
      </c>
      <c r="R428" s="125">
        <v>45664</v>
      </c>
    </row>
    <row r="429" spans="1:18" ht="14.5" customHeight="1" x14ac:dyDescent="0.35">
      <c r="A429" s="123" t="s">
        <v>1174</v>
      </c>
      <c r="B429" s="124" t="s">
        <v>1175</v>
      </c>
      <c r="C429" s="121" t="s">
        <v>37</v>
      </c>
      <c r="D429" s="121" t="s">
        <v>721</v>
      </c>
      <c r="E429" s="120" t="s">
        <v>1176</v>
      </c>
      <c r="F429" s="6" t="s">
        <v>25</v>
      </c>
      <c r="G429" s="143">
        <v>308000</v>
      </c>
      <c r="H429" s="121" t="s">
        <v>726</v>
      </c>
      <c r="I429" s="122" t="s">
        <v>27</v>
      </c>
      <c r="J429" s="122" t="s">
        <v>27</v>
      </c>
      <c r="K429" s="122" t="s">
        <v>27</v>
      </c>
      <c r="L429" s="122" t="s">
        <v>27</v>
      </c>
      <c r="M429" s="6" t="s">
        <v>28</v>
      </c>
      <c r="N429" s="122"/>
      <c r="O429" s="122" t="s">
        <v>756</v>
      </c>
      <c r="P429" s="22" t="s">
        <v>871</v>
      </c>
      <c r="Q429" s="83">
        <f t="shared" si="6"/>
        <v>2024</v>
      </c>
      <c r="R429" s="125">
        <v>45971</v>
      </c>
    </row>
    <row r="430" spans="1:18" ht="14.5" hidden="1" customHeight="1" x14ac:dyDescent="0.35">
      <c r="A430" s="118" t="s">
        <v>1177</v>
      </c>
      <c r="B430" s="88" t="s">
        <v>1178</v>
      </c>
      <c r="C430" s="119" t="s">
        <v>23</v>
      </c>
      <c r="D430" s="119">
        <v>1</v>
      </c>
      <c r="E430" s="120" t="s">
        <v>1179</v>
      </c>
      <c r="F430" s="6" t="s">
        <v>25</v>
      </c>
      <c r="G430" s="143">
        <v>290000</v>
      </c>
      <c r="H430" s="119" t="s">
        <v>709</v>
      </c>
      <c r="I430" s="163" t="s">
        <v>27</v>
      </c>
      <c r="J430" s="163" t="s">
        <v>27</v>
      </c>
      <c r="K430" s="163" t="s">
        <v>27</v>
      </c>
      <c r="L430" s="163" t="s">
        <v>27</v>
      </c>
      <c r="M430" s="163" t="s">
        <v>27</v>
      </c>
      <c r="N430" s="163" t="s">
        <v>27</v>
      </c>
      <c r="O430" s="122" t="s">
        <v>709</v>
      </c>
      <c r="P430" s="22" t="s">
        <v>710</v>
      </c>
      <c r="Q430" s="83">
        <f t="shared" si="6"/>
        <v>2024</v>
      </c>
      <c r="R430" s="106"/>
    </row>
    <row r="431" spans="1:18" ht="14.5" x14ac:dyDescent="0.35">
      <c r="A431" s="118" t="s">
        <v>345</v>
      </c>
      <c r="B431" s="88" t="s">
        <v>346</v>
      </c>
      <c r="C431" s="119" t="s">
        <v>61</v>
      </c>
      <c r="D431" s="119" t="s">
        <v>667</v>
      </c>
      <c r="E431" s="126" t="s">
        <v>1180</v>
      </c>
      <c r="F431" s="20" t="s">
        <v>25</v>
      </c>
      <c r="G431" s="143">
        <v>45000</v>
      </c>
      <c r="H431" s="119" t="s">
        <v>730</v>
      </c>
      <c r="I431" s="163" t="s">
        <v>27</v>
      </c>
      <c r="J431" s="163" t="s">
        <v>27</v>
      </c>
      <c r="K431" s="163" t="s">
        <v>27</v>
      </c>
      <c r="L431" s="163" t="s">
        <v>27</v>
      </c>
      <c r="M431" s="163" t="s">
        <v>27</v>
      </c>
      <c r="N431" s="6" t="s">
        <v>28</v>
      </c>
      <c r="O431" s="129" t="s">
        <v>756</v>
      </c>
      <c r="P431" s="165" t="s">
        <v>996</v>
      </c>
      <c r="Q431" s="83">
        <f t="shared" si="6"/>
        <v>2024</v>
      </c>
      <c r="R431" s="128">
        <v>45505</v>
      </c>
    </row>
    <row r="432" spans="1:18" ht="14.5" hidden="1" customHeight="1" x14ac:dyDescent="0.35">
      <c r="A432" s="123" t="s">
        <v>1181</v>
      </c>
      <c r="B432" s="124" t="s">
        <v>1182</v>
      </c>
      <c r="C432" s="121" t="s">
        <v>48</v>
      </c>
      <c r="D432" s="121">
        <v>1</v>
      </c>
      <c r="E432" s="120" t="s">
        <v>1183</v>
      </c>
      <c r="F432" s="6" t="s">
        <v>25</v>
      </c>
      <c r="G432" s="143">
        <v>1380</v>
      </c>
      <c r="H432" s="121" t="s">
        <v>726</v>
      </c>
      <c r="I432" s="122" t="s">
        <v>27</v>
      </c>
      <c r="J432" s="122" t="s">
        <v>27</v>
      </c>
      <c r="K432" s="122" t="s">
        <v>27</v>
      </c>
      <c r="L432" s="122" t="s">
        <v>27</v>
      </c>
      <c r="M432" s="122" t="s">
        <v>27</v>
      </c>
      <c r="N432" s="122" t="s">
        <v>27</v>
      </c>
      <c r="O432" s="122" t="s">
        <v>745</v>
      </c>
      <c r="P432" s="22"/>
      <c r="Q432" s="83">
        <f t="shared" si="6"/>
        <v>2024</v>
      </c>
      <c r="R432" s="106"/>
    </row>
    <row r="433" spans="1:18" ht="14.5" hidden="1" customHeight="1" x14ac:dyDescent="0.35">
      <c r="A433" s="123" t="s">
        <v>1181</v>
      </c>
      <c r="B433" s="124" t="s">
        <v>1182</v>
      </c>
      <c r="C433" s="121" t="s">
        <v>48</v>
      </c>
      <c r="D433" s="121">
        <v>2</v>
      </c>
      <c r="E433" s="120" t="s">
        <v>1020</v>
      </c>
      <c r="F433" s="6" t="s">
        <v>25</v>
      </c>
      <c r="G433" s="143">
        <v>43700</v>
      </c>
      <c r="H433" s="121" t="s">
        <v>726</v>
      </c>
      <c r="I433" s="122" t="s">
        <v>27</v>
      </c>
      <c r="J433" s="122" t="s">
        <v>27</v>
      </c>
      <c r="K433" s="122" t="s">
        <v>27</v>
      </c>
      <c r="L433" s="122" t="s">
        <v>27</v>
      </c>
      <c r="M433" s="122" t="s">
        <v>27</v>
      </c>
      <c r="N433" s="122" t="s">
        <v>27</v>
      </c>
      <c r="O433" s="122" t="s">
        <v>745</v>
      </c>
      <c r="P433" s="22"/>
      <c r="Q433" s="83">
        <f t="shared" si="6"/>
        <v>2024</v>
      </c>
      <c r="R433" s="106"/>
    </row>
    <row r="434" spans="1:18" ht="14.5" hidden="1" customHeight="1" x14ac:dyDescent="0.35">
      <c r="A434" s="123" t="s">
        <v>1181</v>
      </c>
      <c r="B434" s="124" t="s">
        <v>1182</v>
      </c>
      <c r="C434" s="121" t="s">
        <v>48</v>
      </c>
      <c r="D434" s="121">
        <v>3</v>
      </c>
      <c r="E434" s="120" t="s">
        <v>1184</v>
      </c>
      <c r="F434" s="6" t="s">
        <v>25</v>
      </c>
      <c r="G434" s="143">
        <v>124328</v>
      </c>
      <c r="H434" s="121" t="s">
        <v>726</v>
      </c>
      <c r="I434" s="122" t="s">
        <v>27</v>
      </c>
      <c r="J434" s="122" t="s">
        <v>27</v>
      </c>
      <c r="K434" s="122" t="s">
        <v>27</v>
      </c>
      <c r="L434" s="122" t="s">
        <v>27</v>
      </c>
      <c r="M434" s="122" t="s">
        <v>27</v>
      </c>
      <c r="N434" s="122" t="s">
        <v>27</v>
      </c>
      <c r="O434" s="122" t="s">
        <v>745</v>
      </c>
      <c r="P434" s="22"/>
      <c r="Q434" s="83">
        <f t="shared" si="6"/>
        <v>2024</v>
      </c>
      <c r="R434" s="106"/>
    </row>
    <row r="435" spans="1:18" ht="14.5" hidden="1" customHeight="1" x14ac:dyDescent="0.35">
      <c r="A435" s="123" t="s">
        <v>1181</v>
      </c>
      <c r="B435" s="124" t="s">
        <v>1182</v>
      </c>
      <c r="C435" s="121" t="s">
        <v>48</v>
      </c>
      <c r="D435" s="121">
        <v>4</v>
      </c>
      <c r="E435" s="120" t="s">
        <v>1011</v>
      </c>
      <c r="F435" s="6" t="s">
        <v>25</v>
      </c>
      <c r="G435" s="143">
        <v>46000</v>
      </c>
      <c r="H435" s="121" t="s">
        <v>726</v>
      </c>
      <c r="I435" s="122" t="s">
        <v>27</v>
      </c>
      <c r="J435" s="122" t="s">
        <v>27</v>
      </c>
      <c r="K435" s="122" t="s">
        <v>27</v>
      </c>
      <c r="L435" s="122" t="s">
        <v>27</v>
      </c>
      <c r="M435" s="122" t="s">
        <v>27</v>
      </c>
      <c r="N435" s="122" t="s">
        <v>27</v>
      </c>
      <c r="O435" s="122" t="s">
        <v>745</v>
      </c>
      <c r="P435" s="22"/>
      <c r="Q435" s="83">
        <f t="shared" si="6"/>
        <v>2024</v>
      </c>
      <c r="R435" s="106"/>
    </row>
    <row r="436" spans="1:18" ht="14.5" hidden="1" x14ac:dyDescent="0.35">
      <c r="A436" s="123" t="s">
        <v>1181</v>
      </c>
      <c r="B436" s="124" t="s">
        <v>1182</v>
      </c>
      <c r="C436" s="121" t="s">
        <v>48</v>
      </c>
      <c r="D436" s="121">
        <v>5</v>
      </c>
      <c r="E436" s="120" t="s">
        <v>1185</v>
      </c>
      <c r="F436" s="6" t="s">
        <v>25</v>
      </c>
      <c r="G436" s="143">
        <v>124200</v>
      </c>
      <c r="H436" s="121" t="s">
        <v>726</v>
      </c>
      <c r="I436" s="122" t="s">
        <v>27</v>
      </c>
      <c r="J436" s="122" t="s">
        <v>27</v>
      </c>
      <c r="K436" s="122" t="s">
        <v>27</v>
      </c>
      <c r="L436" s="122" t="s">
        <v>27</v>
      </c>
      <c r="M436" s="122" t="s">
        <v>27</v>
      </c>
      <c r="N436" s="122" t="s">
        <v>27</v>
      </c>
      <c r="O436" s="122" t="s">
        <v>745</v>
      </c>
      <c r="P436" s="22"/>
      <c r="Q436" s="83">
        <f t="shared" si="6"/>
        <v>2024</v>
      </c>
      <c r="R436" s="106"/>
    </row>
    <row r="437" spans="1:18" ht="14.5" hidden="1" customHeight="1" x14ac:dyDescent="0.35">
      <c r="A437" s="123" t="s">
        <v>1181</v>
      </c>
      <c r="B437" s="124" t="s">
        <v>1182</v>
      </c>
      <c r="C437" s="121" t="s">
        <v>48</v>
      </c>
      <c r="D437" s="121">
        <v>6</v>
      </c>
      <c r="E437" s="120" t="s">
        <v>1019</v>
      </c>
      <c r="F437" s="6" t="s">
        <v>25</v>
      </c>
      <c r="G437" s="143">
        <v>42550</v>
      </c>
      <c r="H437" s="121" t="s">
        <v>726</v>
      </c>
      <c r="I437" s="122" t="s">
        <v>27</v>
      </c>
      <c r="J437" s="122" t="s">
        <v>27</v>
      </c>
      <c r="K437" s="122" t="s">
        <v>27</v>
      </c>
      <c r="L437" s="122" t="s">
        <v>27</v>
      </c>
      <c r="M437" s="122" t="s">
        <v>27</v>
      </c>
      <c r="N437" s="122" t="s">
        <v>27</v>
      </c>
      <c r="O437" s="122" t="s">
        <v>745</v>
      </c>
      <c r="P437" s="22"/>
      <c r="Q437" s="83">
        <f t="shared" si="6"/>
        <v>2024</v>
      </c>
      <c r="R437" s="106"/>
    </row>
    <row r="438" spans="1:18" ht="14.5" hidden="1" x14ac:dyDescent="0.35">
      <c r="A438" s="123" t="s">
        <v>1181</v>
      </c>
      <c r="B438" s="124" t="s">
        <v>1182</v>
      </c>
      <c r="C438" s="121" t="s">
        <v>48</v>
      </c>
      <c r="D438" s="121">
        <v>6</v>
      </c>
      <c r="E438" s="120" t="s">
        <v>1019</v>
      </c>
      <c r="F438" s="6" t="s">
        <v>25</v>
      </c>
      <c r="G438" s="143">
        <v>49400</v>
      </c>
      <c r="H438" s="121" t="s">
        <v>749</v>
      </c>
      <c r="I438" s="162"/>
      <c r="J438" s="162"/>
      <c r="K438" s="162"/>
      <c r="L438" s="162"/>
      <c r="M438" s="162"/>
      <c r="N438" s="162"/>
      <c r="O438" s="122" t="s">
        <v>664</v>
      </c>
      <c r="P438" s="22"/>
      <c r="Q438" s="83">
        <f t="shared" si="6"/>
        <v>2024</v>
      </c>
      <c r="R438" s="106"/>
    </row>
    <row r="439" spans="1:18" ht="14.5" hidden="1" x14ac:dyDescent="0.35">
      <c r="A439" s="123" t="s">
        <v>1181</v>
      </c>
      <c r="B439" s="124" t="s">
        <v>1182</v>
      </c>
      <c r="C439" s="121" t="s">
        <v>48</v>
      </c>
      <c r="D439" s="121">
        <v>7</v>
      </c>
      <c r="E439" s="120" t="s">
        <v>1186</v>
      </c>
      <c r="F439" s="6" t="s">
        <v>25</v>
      </c>
      <c r="G439" s="143">
        <v>82225</v>
      </c>
      <c r="H439" s="121" t="s">
        <v>726</v>
      </c>
      <c r="I439" s="122" t="s">
        <v>27</v>
      </c>
      <c r="J439" s="122" t="s">
        <v>27</v>
      </c>
      <c r="K439" s="122" t="s">
        <v>27</v>
      </c>
      <c r="L439" s="122" t="s">
        <v>27</v>
      </c>
      <c r="M439" s="122" t="s">
        <v>27</v>
      </c>
      <c r="N439" s="122" t="s">
        <v>27</v>
      </c>
      <c r="O439" s="122" t="s">
        <v>745</v>
      </c>
      <c r="P439" s="22"/>
      <c r="Q439" s="83">
        <f t="shared" si="6"/>
        <v>2024</v>
      </c>
      <c r="R439" s="106"/>
    </row>
    <row r="440" spans="1:18" ht="14.5" hidden="1" x14ac:dyDescent="0.35">
      <c r="A440" s="123" t="s">
        <v>1181</v>
      </c>
      <c r="B440" s="124" t="s">
        <v>1182</v>
      </c>
      <c r="C440" s="121" t="s">
        <v>48</v>
      </c>
      <c r="D440" s="121">
        <v>8</v>
      </c>
      <c r="E440" s="120" t="s">
        <v>1187</v>
      </c>
      <c r="F440" s="6" t="s">
        <v>25</v>
      </c>
      <c r="G440" s="143">
        <v>46000</v>
      </c>
      <c r="H440" s="121" t="s">
        <v>726</v>
      </c>
      <c r="I440" s="122" t="s">
        <v>27</v>
      </c>
      <c r="J440" s="122" t="s">
        <v>27</v>
      </c>
      <c r="K440" s="122" t="s">
        <v>27</v>
      </c>
      <c r="L440" s="122" t="s">
        <v>27</v>
      </c>
      <c r="M440" s="122" t="s">
        <v>27</v>
      </c>
      <c r="N440" s="122" t="s">
        <v>27</v>
      </c>
      <c r="O440" s="122" t="s">
        <v>745</v>
      </c>
      <c r="P440" s="22"/>
      <c r="Q440" s="83">
        <f t="shared" si="6"/>
        <v>2024</v>
      </c>
      <c r="R440" s="106"/>
    </row>
    <row r="441" spans="1:18" ht="14.5" hidden="1" x14ac:dyDescent="0.35">
      <c r="A441" s="123" t="s">
        <v>1181</v>
      </c>
      <c r="B441" s="124" t="s">
        <v>1182</v>
      </c>
      <c r="C441" s="121" t="s">
        <v>48</v>
      </c>
      <c r="D441" s="121">
        <v>9</v>
      </c>
      <c r="E441" s="120" t="s">
        <v>1124</v>
      </c>
      <c r="F441" s="6" t="s">
        <v>25</v>
      </c>
      <c r="G441" s="143">
        <v>57500</v>
      </c>
      <c r="H441" s="121" t="s">
        <v>726</v>
      </c>
      <c r="I441" s="122" t="s">
        <v>27</v>
      </c>
      <c r="J441" s="122" t="s">
        <v>27</v>
      </c>
      <c r="K441" s="122" t="s">
        <v>27</v>
      </c>
      <c r="L441" s="122" t="s">
        <v>27</v>
      </c>
      <c r="M441" s="122" t="s">
        <v>27</v>
      </c>
      <c r="N441" s="122" t="s">
        <v>27</v>
      </c>
      <c r="O441" s="122" t="s">
        <v>745</v>
      </c>
      <c r="P441" s="22"/>
      <c r="Q441" s="83">
        <f t="shared" si="6"/>
        <v>2024</v>
      </c>
      <c r="R441" s="106"/>
    </row>
    <row r="442" spans="1:18" ht="14.5" hidden="1" x14ac:dyDescent="0.35">
      <c r="A442" s="123" t="s">
        <v>1181</v>
      </c>
      <c r="B442" s="124" t="s">
        <v>1182</v>
      </c>
      <c r="C442" s="121" t="s">
        <v>48</v>
      </c>
      <c r="D442" s="121">
        <v>10</v>
      </c>
      <c r="E442" s="120" t="s">
        <v>1188</v>
      </c>
      <c r="F442" s="6" t="s">
        <v>25</v>
      </c>
      <c r="G442" s="143">
        <v>69000</v>
      </c>
      <c r="H442" s="121" t="s">
        <v>663</v>
      </c>
      <c r="I442" s="162"/>
      <c r="J442" s="162"/>
      <c r="K442" s="162"/>
      <c r="L442" s="162"/>
      <c r="M442" s="162"/>
      <c r="N442" s="162"/>
      <c r="O442" s="122" t="s">
        <v>664</v>
      </c>
      <c r="P442" s="22"/>
      <c r="Q442" s="83">
        <f t="shared" si="6"/>
        <v>2024</v>
      </c>
      <c r="R442" s="106"/>
    </row>
    <row r="443" spans="1:18" ht="14.5" hidden="1" x14ac:dyDescent="0.35">
      <c r="A443" s="123" t="s">
        <v>1181</v>
      </c>
      <c r="B443" s="124" t="s">
        <v>1182</v>
      </c>
      <c r="C443" s="121" t="s">
        <v>48</v>
      </c>
      <c r="D443" s="121" t="s">
        <v>1189</v>
      </c>
      <c r="E443" s="120" t="s">
        <v>1188</v>
      </c>
      <c r="F443" s="6" t="s">
        <v>25</v>
      </c>
      <c r="G443" s="143">
        <v>92000</v>
      </c>
      <c r="H443" s="121" t="s">
        <v>726</v>
      </c>
      <c r="I443" s="122" t="s">
        <v>27</v>
      </c>
      <c r="J443" s="122" t="s">
        <v>27</v>
      </c>
      <c r="K443" s="122" t="s">
        <v>27</v>
      </c>
      <c r="L443" s="122" t="s">
        <v>27</v>
      </c>
      <c r="M443" s="122" t="s">
        <v>27</v>
      </c>
      <c r="N443" s="122" t="s">
        <v>27</v>
      </c>
      <c r="O443" s="122" t="s">
        <v>745</v>
      </c>
      <c r="P443" s="22"/>
      <c r="Q443" s="83">
        <f t="shared" si="6"/>
        <v>2024</v>
      </c>
      <c r="R443" s="106"/>
    </row>
    <row r="444" spans="1:18" ht="14.5" hidden="1" x14ac:dyDescent="0.35">
      <c r="A444" s="123" t="s">
        <v>1181</v>
      </c>
      <c r="B444" s="124" t="s">
        <v>1182</v>
      </c>
      <c r="C444" s="121" t="s">
        <v>48</v>
      </c>
      <c r="D444" s="121">
        <v>11</v>
      </c>
      <c r="E444" s="120" t="s">
        <v>1190</v>
      </c>
      <c r="F444" s="6" t="s">
        <v>25</v>
      </c>
      <c r="G444" s="143">
        <v>35000</v>
      </c>
      <c r="H444" s="121" t="s">
        <v>663</v>
      </c>
      <c r="I444" s="162"/>
      <c r="J444" s="162"/>
      <c r="K444" s="162"/>
      <c r="L444" s="162"/>
      <c r="M444" s="162"/>
      <c r="N444" s="162"/>
      <c r="O444" s="122" t="s">
        <v>664</v>
      </c>
      <c r="P444" s="22"/>
      <c r="Q444" s="83">
        <f t="shared" si="6"/>
        <v>2024</v>
      </c>
      <c r="R444" s="106"/>
    </row>
    <row r="445" spans="1:18" ht="14.5" hidden="1" x14ac:dyDescent="0.35">
      <c r="A445" s="123" t="s">
        <v>1181</v>
      </c>
      <c r="B445" s="124" t="s">
        <v>1182</v>
      </c>
      <c r="C445" s="121" t="s">
        <v>48</v>
      </c>
      <c r="D445" s="121" t="s">
        <v>699</v>
      </c>
      <c r="E445" s="120" t="s">
        <v>1190</v>
      </c>
      <c r="F445" s="6" t="s">
        <v>25</v>
      </c>
      <c r="G445" s="143">
        <v>32000</v>
      </c>
      <c r="H445" s="121" t="s">
        <v>726</v>
      </c>
      <c r="I445" s="122" t="s">
        <v>27</v>
      </c>
      <c r="J445" s="122" t="s">
        <v>27</v>
      </c>
      <c r="K445" s="122" t="s">
        <v>27</v>
      </c>
      <c r="L445" s="122" t="s">
        <v>27</v>
      </c>
      <c r="M445" s="122" t="s">
        <v>27</v>
      </c>
      <c r="N445" s="122" t="s">
        <v>27</v>
      </c>
      <c r="O445" s="122" t="s">
        <v>745</v>
      </c>
      <c r="P445" s="22"/>
      <c r="Q445" s="83">
        <f t="shared" si="6"/>
        <v>2024</v>
      </c>
      <c r="R445" s="106"/>
    </row>
    <row r="446" spans="1:18" ht="14.5" hidden="1" x14ac:dyDescent="0.35">
      <c r="A446" s="118" t="s">
        <v>1191</v>
      </c>
      <c r="B446" s="88" t="s">
        <v>1192</v>
      </c>
      <c r="C446" s="119" t="s">
        <v>23</v>
      </c>
      <c r="D446" s="119">
        <v>1</v>
      </c>
      <c r="E446" s="120" t="s">
        <v>912</v>
      </c>
      <c r="F446" s="6" t="s">
        <v>25</v>
      </c>
      <c r="G446" s="143">
        <v>232000</v>
      </c>
      <c r="H446" s="121" t="s">
        <v>663</v>
      </c>
      <c r="I446" s="162"/>
      <c r="J446" s="162"/>
      <c r="K446" s="162"/>
      <c r="L446" s="162"/>
      <c r="M446" s="162"/>
      <c r="N446" s="162"/>
      <c r="O446" s="122" t="s">
        <v>664</v>
      </c>
      <c r="P446" s="22"/>
      <c r="Q446" s="83">
        <f t="shared" si="6"/>
        <v>2024</v>
      </c>
      <c r="R446" s="106"/>
    </row>
    <row r="447" spans="1:18" ht="14.5" x14ac:dyDescent="0.35">
      <c r="A447" s="118" t="s">
        <v>1191</v>
      </c>
      <c r="B447" s="88" t="s">
        <v>1193</v>
      </c>
      <c r="C447" s="119" t="s">
        <v>23</v>
      </c>
      <c r="D447" s="119" t="s">
        <v>667</v>
      </c>
      <c r="E447" s="120" t="s">
        <v>912</v>
      </c>
      <c r="F447" s="6" t="s">
        <v>25</v>
      </c>
      <c r="G447" s="143">
        <v>148800</v>
      </c>
      <c r="H447" s="119" t="s">
        <v>726</v>
      </c>
      <c r="I447" s="163" t="s">
        <v>27</v>
      </c>
      <c r="J447" s="163" t="s">
        <v>27</v>
      </c>
      <c r="K447" s="163" t="s">
        <v>27</v>
      </c>
      <c r="L447" s="6" t="s">
        <v>28</v>
      </c>
      <c r="M447" s="122"/>
      <c r="N447" s="122"/>
      <c r="O447" s="122" t="s">
        <v>756</v>
      </c>
      <c r="P447" s="164" t="s">
        <v>1194</v>
      </c>
      <c r="Q447" s="83">
        <f t="shared" si="6"/>
        <v>2024</v>
      </c>
      <c r="R447" s="128">
        <v>45730</v>
      </c>
    </row>
    <row r="448" spans="1:18" ht="14.5" hidden="1" x14ac:dyDescent="0.35">
      <c r="A448" s="123" t="s">
        <v>1195</v>
      </c>
      <c r="B448" s="124" t="s">
        <v>1196</v>
      </c>
      <c r="C448" s="121" t="s">
        <v>42</v>
      </c>
      <c r="D448" s="121">
        <v>1</v>
      </c>
      <c r="E448" s="120" t="s">
        <v>1197</v>
      </c>
      <c r="F448" s="6" t="s">
        <v>25</v>
      </c>
      <c r="G448" s="143">
        <v>39116</v>
      </c>
      <c r="H448" s="121" t="s">
        <v>726</v>
      </c>
      <c r="I448" s="122" t="s">
        <v>27</v>
      </c>
      <c r="J448" s="122" t="s">
        <v>27</v>
      </c>
      <c r="K448" s="122" t="s">
        <v>27</v>
      </c>
      <c r="L448" s="122" t="s">
        <v>27</v>
      </c>
      <c r="M448" s="122" t="s">
        <v>27</v>
      </c>
      <c r="N448" s="122" t="s">
        <v>27</v>
      </c>
      <c r="O448" s="122" t="s">
        <v>745</v>
      </c>
      <c r="P448" s="22"/>
      <c r="Q448" s="83">
        <f t="shared" si="6"/>
        <v>2024</v>
      </c>
      <c r="R448" s="106"/>
    </row>
    <row r="449" spans="1:18" ht="14.5" hidden="1" x14ac:dyDescent="0.35">
      <c r="A449" s="123" t="s">
        <v>1195</v>
      </c>
      <c r="B449" s="124" t="s">
        <v>1196</v>
      </c>
      <c r="C449" s="121" t="s">
        <v>42</v>
      </c>
      <c r="D449" s="121">
        <v>2</v>
      </c>
      <c r="E449" s="120" t="s">
        <v>1198</v>
      </c>
      <c r="F449" s="6" t="s">
        <v>25</v>
      </c>
      <c r="G449" s="143">
        <v>13200</v>
      </c>
      <c r="H449" s="121" t="s">
        <v>749</v>
      </c>
      <c r="I449" s="162"/>
      <c r="J449" s="162"/>
      <c r="K449" s="162"/>
      <c r="L449" s="162"/>
      <c r="M449" s="162"/>
      <c r="N449" s="162"/>
      <c r="O449" s="122" t="s">
        <v>664</v>
      </c>
      <c r="P449" s="22"/>
      <c r="Q449" s="83">
        <f t="shared" si="6"/>
        <v>2024</v>
      </c>
      <c r="R449" s="106"/>
    </row>
    <row r="450" spans="1:18" ht="14.5" hidden="1" x14ac:dyDescent="0.35">
      <c r="A450" s="123" t="s">
        <v>1195</v>
      </c>
      <c r="B450" s="124" t="s">
        <v>1196</v>
      </c>
      <c r="C450" s="121" t="s">
        <v>42</v>
      </c>
      <c r="D450" s="121">
        <v>3</v>
      </c>
      <c r="E450" s="120" t="s">
        <v>1199</v>
      </c>
      <c r="F450" s="6" t="s">
        <v>25</v>
      </c>
      <c r="G450" s="143">
        <v>82500</v>
      </c>
      <c r="H450" s="121" t="s">
        <v>749</v>
      </c>
      <c r="I450" s="162"/>
      <c r="J450" s="162"/>
      <c r="K450" s="162"/>
      <c r="L450" s="162"/>
      <c r="M450" s="162"/>
      <c r="N450" s="162"/>
      <c r="O450" s="122" t="s">
        <v>664</v>
      </c>
      <c r="P450" s="22"/>
      <c r="Q450" s="83">
        <f t="shared" si="6"/>
        <v>2024</v>
      </c>
      <c r="R450" s="106"/>
    </row>
    <row r="451" spans="1:18" ht="14.5" hidden="1" x14ac:dyDescent="0.35">
      <c r="A451" s="118" t="s">
        <v>1200</v>
      </c>
      <c r="B451" s="88" t="s">
        <v>1201</v>
      </c>
      <c r="C451" s="119" t="s">
        <v>82</v>
      </c>
      <c r="D451" s="119">
        <v>1</v>
      </c>
      <c r="E451" s="120" t="s">
        <v>1202</v>
      </c>
      <c r="F451" s="6" t="s">
        <v>44</v>
      </c>
      <c r="G451" s="143">
        <v>130000</v>
      </c>
      <c r="H451" s="121" t="s">
        <v>663</v>
      </c>
      <c r="I451" s="162"/>
      <c r="J451" s="162"/>
      <c r="K451" s="162"/>
      <c r="L451" s="162"/>
      <c r="M451" s="162"/>
      <c r="N451" s="162"/>
      <c r="O451" s="122" t="s">
        <v>664</v>
      </c>
      <c r="P451" s="22"/>
      <c r="Q451" s="83">
        <f t="shared" ref="Q451:Q514" si="7">IFERROR(2000+VALUE(LEFT(A451,2)),"")</f>
        <v>2024</v>
      </c>
      <c r="R451" s="106"/>
    </row>
    <row r="452" spans="1:18" ht="14.5" hidden="1" x14ac:dyDescent="0.35">
      <c r="A452" s="118" t="s">
        <v>1200</v>
      </c>
      <c r="B452" s="88" t="s">
        <v>1201</v>
      </c>
      <c r="C452" s="119" t="s">
        <v>82</v>
      </c>
      <c r="D452" s="119" t="s">
        <v>667</v>
      </c>
      <c r="E452" s="120" t="s">
        <v>1202</v>
      </c>
      <c r="F452" s="6" t="s">
        <v>44</v>
      </c>
      <c r="G452" s="143">
        <v>130000</v>
      </c>
      <c r="H452" s="119" t="s">
        <v>709</v>
      </c>
      <c r="I452" s="163" t="s">
        <v>27</v>
      </c>
      <c r="J452" s="163" t="s">
        <v>27</v>
      </c>
      <c r="K452" s="163" t="s">
        <v>27</v>
      </c>
      <c r="L452" s="163" t="s">
        <v>27</v>
      </c>
      <c r="M452" s="163" t="s">
        <v>27</v>
      </c>
      <c r="N452" s="163" t="s">
        <v>27</v>
      </c>
      <c r="O452" s="122" t="s">
        <v>709</v>
      </c>
      <c r="P452" s="22" t="s">
        <v>710</v>
      </c>
      <c r="Q452" s="83">
        <f t="shared" si="7"/>
        <v>2024</v>
      </c>
      <c r="R452" s="106"/>
    </row>
    <row r="453" spans="1:18" ht="14.5" hidden="1" x14ac:dyDescent="0.35">
      <c r="A453" s="123" t="s">
        <v>315</v>
      </c>
      <c r="B453" s="124" t="s">
        <v>316</v>
      </c>
      <c r="C453" s="121" t="s">
        <v>48</v>
      </c>
      <c r="D453" s="121">
        <v>1</v>
      </c>
      <c r="E453" s="120" t="s">
        <v>1203</v>
      </c>
      <c r="F453" s="6" t="s">
        <v>25</v>
      </c>
      <c r="G453" s="143">
        <v>94225</v>
      </c>
      <c r="H453" s="121" t="s">
        <v>663</v>
      </c>
      <c r="I453" s="162"/>
      <c r="J453" s="162"/>
      <c r="K453" s="162"/>
      <c r="L453" s="162"/>
      <c r="M453" s="162"/>
      <c r="N453" s="162"/>
      <c r="O453" s="122" t="s">
        <v>664</v>
      </c>
      <c r="P453" s="22"/>
      <c r="Q453" s="83">
        <f t="shared" si="7"/>
        <v>2024</v>
      </c>
      <c r="R453" s="106"/>
    </row>
    <row r="454" spans="1:18" ht="14.5" hidden="1" x14ac:dyDescent="0.35">
      <c r="A454" s="123" t="s">
        <v>315</v>
      </c>
      <c r="B454" s="124" t="s">
        <v>316</v>
      </c>
      <c r="C454" s="121" t="s">
        <v>48</v>
      </c>
      <c r="D454" s="121" t="s">
        <v>667</v>
      </c>
      <c r="E454" s="120" t="s">
        <v>1203</v>
      </c>
      <c r="F454" s="6" t="s">
        <v>25</v>
      </c>
      <c r="G454" s="143">
        <v>80000</v>
      </c>
      <c r="H454" s="121" t="s">
        <v>663</v>
      </c>
      <c r="I454" s="162"/>
      <c r="J454" s="162"/>
      <c r="K454" s="162"/>
      <c r="L454" s="162"/>
      <c r="M454" s="162"/>
      <c r="N454" s="162"/>
      <c r="O454" s="122" t="s">
        <v>664</v>
      </c>
      <c r="P454" s="22"/>
      <c r="Q454" s="83">
        <f t="shared" si="7"/>
        <v>2024</v>
      </c>
      <c r="R454" s="106"/>
    </row>
    <row r="455" spans="1:18" ht="14.5" hidden="1" x14ac:dyDescent="0.35">
      <c r="A455" s="123" t="s">
        <v>315</v>
      </c>
      <c r="B455" s="124" t="s">
        <v>316</v>
      </c>
      <c r="C455" s="121" t="s">
        <v>48</v>
      </c>
      <c r="D455" s="121" t="s">
        <v>766</v>
      </c>
      <c r="E455" s="120" t="s">
        <v>1203</v>
      </c>
      <c r="F455" s="6" t="s">
        <v>25</v>
      </c>
      <c r="G455" s="143">
        <v>80000</v>
      </c>
      <c r="H455" s="121" t="s">
        <v>726</v>
      </c>
      <c r="I455" s="122" t="s">
        <v>27</v>
      </c>
      <c r="J455" s="122" t="s">
        <v>27</v>
      </c>
      <c r="K455" s="122" t="s">
        <v>27</v>
      </c>
      <c r="L455" s="122" t="s">
        <v>27</v>
      </c>
      <c r="M455" s="122" t="s">
        <v>27</v>
      </c>
      <c r="N455" s="122" t="s">
        <v>27</v>
      </c>
      <c r="O455" s="122" t="s">
        <v>745</v>
      </c>
      <c r="P455" s="75"/>
      <c r="Q455" s="83">
        <f t="shared" si="7"/>
        <v>2024</v>
      </c>
      <c r="R455" s="106"/>
    </row>
    <row r="456" spans="1:18" ht="14.5" hidden="1" customHeight="1" x14ac:dyDescent="0.35">
      <c r="A456" s="123" t="s">
        <v>315</v>
      </c>
      <c r="B456" s="124" t="s">
        <v>316</v>
      </c>
      <c r="C456" s="121" t="s">
        <v>48</v>
      </c>
      <c r="D456" s="121">
        <v>2</v>
      </c>
      <c r="E456" s="120" t="s">
        <v>1204</v>
      </c>
      <c r="F456" s="6" t="s">
        <v>25</v>
      </c>
      <c r="G456" s="143">
        <v>235200</v>
      </c>
      <c r="H456" s="121" t="s">
        <v>663</v>
      </c>
      <c r="I456" s="162"/>
      <c r="J456" s="162"/>
      <c r="K456" s="162"/>
      <c r="L456" s="162"/>
      <c r="M456" s="162"/>
      <c r="N456" s="162"/>
      <c r="O456" s="122" t="s">
        <v>664</v>
      </c>
      <c r="P456" s="22"/>
      <c r="Q456" s="83">
        <f t="shared" si="7"/>
        <v>2024</v>
      </c>
      <c r="R456" s="106"/>
    </row>
    <row r="457" spans="1:18" ht="14.5" hidden="1" x14ac:dyDescent="0.35">
      <c r="A457" s="123" t="s">
        <v>315</v>
      </c>
      <c r="B457" s="124" t="s">
        <v>316</v>
      </c>
      <c r="C457" s="121" t="s">
        <v>48</v>
      </c>
      <c r="D457" s="121" t="s">
        <v>755</v>
      </c>
      <c r="E457" s="120" t="s">
        <v>1204</v>
      </c>
      <c r="F457" s="6" t="s">
        <v>25</v>
      </c>
      <c r="G457" s="143">
        <v>83450</v>
      </c>
      <c r="H457" s="121" t="s">
        <v>730</v>
      </c>
      <c r="I457" s="122" t="s">
        <v>27</v>
      </c>
      <c r="J457" s="122" t="s">
        <v>27</v>
      </c>
      <c r="K457" s="122" t="s">
        <v>27</v>
      </c>
      <c r="L457" s="122" t="s">
        <v>27</v>
      </c>
      <c r="M457" s="122" t="s">
        <v>27</v>
      </c>
      <c r="N457" s="122" t="s">
        <v>27</v>
      </c>
      <c r="O457" s="122" t="s">
        <v>745</v>
      </c>
      <c r="P457" s="75"/>
      <c r="Q457" s="83">
        <f t="shared" si="7"/>
        <v>2024</v>
      </c>
      <c r="R457" s="106"/>
    </row>
    <row r="458" spans="1:18" ht="14.5" hidden="1" x14ac:dyDescent="0.35">
      <c r="A458" s="123" t="s">
        <v>315</v>
      </c>
      <c r="B458" s="124" t="s">
        <v>316</v>
      </c>
      <c r="C458" s="121" t="s">
        <v>48</v>
      </c>
      <c r="D458" s="121">
        <v>3</v>
      </c>
      <c r="E458" s="120" t="s">
        <v>1205</v>
      </c>
      <c r="F458" s="6" t="s">
        <v>25</v>
      </c>
      <c r="G458" s="143">
        <v>141750</v>
      </c>
      <c r="H458" s="121" t="s">
        <v>663</v>
      </c>
      <c r="I458" s="162"/>
      <c r="J458" s="162"/>
      <c r="K458" s="162"/>
      <c r="L458" s="162"/>
      <c r="M458" s="162"/>
      <c r="N458" s="162"/>
      <c r="O458" s="122" t="s">
        <v>664</v>
      </c>
      <c r="P458" s="22"/>
      <c r="Q458" s="83">
        <f t="shared" si="7"/>
        <v>2024</v>
      </c>
      <c r="R458" s="106"/>
    </row>
    <row r="459" spans="1:18" ht="14.5" hidden="1" x14ac:dyDescent="0.35">
      <c r="A459" s="123" t="s">
        <v>315</v>
      </c>
      <c r="B459" s="124" t="s">
        <v>316</v>
      </c>
      <c r="C459" s="121" t="s">
        <v>48</v>
      </c>
      <c r="D459" s="121" t="s">
        <v>671</v>
      </c>
      <c r="E459" s="120" t="s">
        <v>1205</v>
      </c>
      <c r="F459" s="6" t="s">
        <v>25</v>
      </c>
      <c r="G459" s="143">
        <v>35000</v>
      </c>
      <c r="H459" s="121" t="s">
        <v>730</v>
      </c>
      <c r="I459" s="122" t="s">
        <v>27</v>
      </c>
      <c r="J459" s="122" t="s">
        <v>27</v>
      </c>
      <c r="K459" s="122" t="s">
        <v>27</v>
      </c>
      <c r="L459" s="122" t="s">
        <v>27</v>
      </c>
      <c r="M459" s="122" t="s">
        <v>27</v>
      </c>
      <c r="N459" s="122" t="s">
        <v>27</v>
      </c>
      <c r="O459" s="122" t="s">
        <v>745</v>
      </c>
      <c r="P459" s="75"/>
      <c r="Q459" s="83">
        <f t="shared" si="7"/>
        <v>2024</v>
      </c>
      <c r="R459" s="106"/>
    </row>
    <row r="460" spans="1:18" ht="14.5" hidden="1" x14ac:dyDescent="0.35">
      <c r="A460" s="123" t="s">
        <v>315</v>
      </c>
      <c r="B460" s="124" t="s">
        <v>316</v>
      </c>
      <c r="C460" s="121" t="s">
        <v>48</v>
      </c>
      <c r="D460" s="121">
        <v>4</v>
      </c>
      <c r="E460" s="120" t="s">
        <v>1206</v>
      </c>
      <c r="F460" s="6" t="s">
        <v>25</v>
      </c>
      <c r="G460" s="143">
        <v>353430</v>
      </c>
      <c r="H460" s="121" t="s">
        <v>663</v>
      </c>
      <c r="I460" s="162"/>
      <c r="J460" s="162"/>
      <c r="K460" s="162"/>
      <c r="L460" s="162"/>
      <c r="M460" s="162"/>
      <c r="N460" s="162"/>
      <c r="O460" s="122" t="s">
        <v>664</v>
      </c>
      <c r="P460" s="22"/>
      <c r="Q460" s="83">
        <f t="shared" si="7"/>
        <v>2024</v>
      </c>
      <c r="R460" s="106"/>
    </row>
    <row r="461" spans="1:18" ht="14.5" hidden="1" x14ac:dyDescent="0.35">
      <c r="A461" s="123" t="s">
        <v>315</v>
      </c>
      <c r="B461" s="124" t="s">
        <v>316</v>
      </c>
      <c r="C461" s="121" t="s">
        <v>48</v>
      </c>
      <c r="D461" s="121" t="s">
        <v>673</v>
      </c>
      <c r="E461" s="120" t="s">
        <v>1206</v>
      </c>
      <c r="F461" s="6" t="s">
        <v>25</v>
      </c>
      <c r="G461" s="143">
        <v>309251</v>
      </c>
      <c r="H461" s="121" t="s">
        <v>730</v>
      </c>
      <c r="I461" s="122" t="s">
        <v>27</v>
      </c>
      <c r="J461" s="122" t="s">
        <v>27</v>
      </c>
      <c r="K461" s="122" t="s">
        <v>27</v>
      </c>
      <c r="L461" s="122" t="s">
        <v>27</v>
      </c>
      <c r="M461" s="122" t="s">
        <v>27</v>
      </c>
      <c r="N461" s="122" t="s">
        <v>27</v>
      </c>
      <c r="O461" s="122" t="s">
        <v>745</v>
      </c>
      <c r="P461" s="22"/>
      <c r="Q461" s="83">
        <f t="shared" si="7"/>
        <v>2024</v>
      </c>
      <c r="R461" s="106"/>
    </row>
    <row r="462" spans="1:18" ht="14.5" hidden="1" customHeight="1" x14ac:dyDescent="0.35">
      <c r="A462" s="123" t="s">
        <v>1207</v>
      </c>
      <c r="B462" s="124" t="s">
        <v>1208</v>
      </c>
      <c r="C462" s="121" t="s">
        <v>1209</v>
      </c>
      <c r="D462" s="121">
        <v>1</v>
      </c>
      <c r="E462" s="120" t="s">
        <v>1210</v>
      </c>
      <c r="F462" s="6" t="s">
        <v>25</v>
      </c>
      <c r="G462" s="143">
        <v>115000</v>
      </c>
      <c r="H462" s="121" t="s">
        <v>730</v>
      </c>
      <c r="I462" s="122" t="s">
        <v>27</v>
      </c>
      <c r="J462" s="122" t="s">
        <v>27</v>
      </c>
      <c r="K462" s="122" t="s">
        <v>27</v>
      </c>
      <c r="L462" s="122" t="s">
        <v>27</v>
      </c>
      <c r="M462" s="122" t="s">
        <v>27</v>
      </c>
      <c r="N462" s="122" t="s">
        <v>27</v>
      </c>
      <c r="O462" s="122" t="s">
        <v>745</v>
      </c>
      <c r="P462" s="116"/>
      <c r="Q462" s="83">
        <f t="shared" si="7"/>
        <v>2024</v>
      </c>
      <c r="R462" s="106"/>
    </row>
    <row r="463" spans="1:18" ht="14.5" hidden="1" x14ac:dyDescent="0.35">
      <c r="A463" s="123" t="s">
        <v>1207</v>
      </c>
      <c r="B463" s="124" t="s">
        <v>1208</v>
      </c>
      <c r="C463" s="121" t="s">
        <v>37</v>
      </c>
      <c r="D463" s="121" t="s">
        <v>667</v>
      </c>
      <c r="E463" s="120" t="s">
        <v>1210</v>
      </c>
      <c r="F463" s="6" t="s">
        <v>25</v>
      </c>
      <c r="G463" s="143">
        <v>105000</v>
      </c>
      <c r="H463" s="121" t="s">
        <v>730</v>
      </c>
      <c r="I463" s="122" t="s">
        <v>27</v>
      </c>
      <c r="J463" s="122" t="s">
        <v>27</v>
      </c>
      <c r="K463" s="122" t="s">
        <v>27</v>
      </c>
      <c r="L463" s="122" t="s">
        <v>27</v>
      </c>
      <c r="M463" s="122" t="s">
        <v>27</v>
      </c>
      <c r="N463" s="122" t="s">
        <v>27</v>
      </c>
      <c r="O463" s="122" t="s">
        <v>745</v>
      </c>
      <c r="P463" s="116"/>
      <c r="Q463" s="83">
        <f t="shared" si="7"/>
        <v>2024</v>
      </c>
      <c r="R463" s="106"/>
    </row>
    <row r="464" spans="1:18" ht="14.5" hidden="1" customHeight="1" x14ac:dyDescent="0.35">
      <c r="A464" s="123" t="s">
        <v>1207</v>
      </c>
      <c r="B464" s="124" t="s">
        <v>1208</v>
      </c>
      <c r="C464" s="121" t="s">
        <v>37</v>
      </c>
      <c r="D464" s="121">
        <v>2</v>
      </c>
      <c r="E464" s="120" t="s">
        <v>1211</v>
      </c>
      <c r="F464" s="6" t="s">
        <v>25</v>
      </c>
      <c r="G464" s="143">
        <v>22500</v>
      </c>
      <c r="H464" s="121" t="s">
        <v>730</v>
      </c>
      <c r="I464" s="122" t="s">
        <v>27</v>
      </c>
      <c r="J464" s="122" t="s">
        <v>27</v>
      </c>
      <c r="K464" s="122" t="s">
        <v>27</v>
      </c>
      <c r="L464" s="122" t="s">
        <v>27</v>
      </c>
      <c r="M464" s="122" t="s">
        <v>27</v>
      </c>
      <c r="N464" s="122" t="s">
        <v>27</v>
      </c>
      <c r="O464" s="122" t="s">
        <v>745</v>
      </c>
      <c r="P464" s="116"/>
      <c r="Q464" s="83">
        <f t="shared" si="7"/>
        <v>2024</v>
      </c>
      <c r="R464" s="106"/>
    </row>
    <row r="465" spans="1:18" ht="14.5" hidden="1" x14ac:dyDescent="0.35">
      <c r="A465" s="118" t="s">
        <v>1212</v>
      </c>
      <c r="B465" s="88" t="s">
        <v>1213</v>
      </c>
      <c r="C465" s="119" t="s">
        <v>23</v>
      </c>
      <c r="D465" s="119">
        <v>1</v>
      </c>
      <c r="E465" s="120" t="s">
        <v>1214</v>
      </c>
      <c r="F465" s="6" t="s">
        <v>25</v>
      </c>
      <c r="G465" s="143">
        <v>550000</v>
      </c>
      <c r="H465" s="121" t="s">
        <v>663</v>
      </c>
      <c r="I465" s="162"/>
      <c r="J465" s="162"/>
      <c r="K465" s="162"/>
      <c r="L465" s="162"/>
      <c r="M465" s="162"/>
      <c r="N465" s="162"/>
      <c r="O465" s="122" t="s">
        <v>664</v>
      </c>
      <c r="P465" s="22"/>
      <c r="Q465" s="83">
        <f t="shared" si="7"/>
        <v>2024</v>
      </c>
      <c r="R465" s="106"/>
    </row>
    <row r="466" spans="1:18" ht="14.5" hidden="1" customHeight="1" x14ac:dyDescent="0.35">
      <c r="A466" s="118" t="s">
        <v>1212</v>
      </c>
      <c r="B466" s="88" t="s">
        <v>1213</v>
      </c>
      <c r="C466" s="119" t="s">
        <v>23</v>
      </c>
      <c r="D466" s="119" t="s">
        <v>667</v>
      </c>
      <c r="E466" s="120" t="s">
        <v>1214</v>
      </c>
      <c r="F466" s="6" t="s">
        <v>25</v>
      </c>
      <c r="G466" s="143">
        <v>550000</v>
      </c>
      <c r="H466" s="121" t="s">
        <v>663</v>
      </c>
      <c r="I466" s="162"/>
      <c r="J466" s="162"/>
      <c r="K466" s="162"/>
      <c r="L466" s="162"/>
      <c r="M466" s="162"/>
      <c r="N466" s="162"/>
      <c r="O466" s="122" t="s">
        <v>664</v>
      </c>
      <c r="P466" s="22"/>
      <c r="Q466" s="83">
        <f t="shared" si="7"/>
        <v>2024</v>
      </c>
      <c r="R466" s="106"/>
    </row>
    <row r="467" spans="1:18" ht="14.5" hidden="1" x14ac:dyDescent="0.35">
      <c r="A467" s="123" t="s">
        <v>1212</v>
      </c>
      <c r="B467" s="124" t="s">
        <v>1213</v>
      </c>
      <c r="C467" s="119" t="s">
        <v>23</v>
      </c>
      <c r="D467" s="121" t="s">
        <v>766</v>
      </c>
      <c r="E467" s="120" t="s">
        <v>1214</v>
      </c>
      <c r="F467" s="6" t="s">
        <v>25</v>
      </c>
      <c r="G467" s="143">
        <v>467500</v>
      </c>
      <c r="H467" s="119" t="s">
        <v>709</v>
      </c>
      <c r="I467" s="163" t="s">
        <v>27</v>
      </c>
      <c r="J467" s="163" t="s">
        <v>27</v>
      </c>
      <c r="K467" s="163" t="s">
        <v>27</v>
      </c>
      <c r="L467" s="163" t="s">
        <v>27</v>
      </c>
      <c r="M467" s="163" t="s">
        <v>27</v>
      </c>
      <c r="N467" s="163" t="s">
        <v>27</v>
      </c>
      <c r="O467" s="122" t="s">
        <v>709</v>
      </c>
      <c r="P467" s="22" t="s">
        <v>787</v>
      </c>
      <c r="Q467" s="83">
        <f t="shared" si="7"/>
        <v>2024</v>
      </c>
      <c r="R467" s="106"/>
    </row>
    <row r="468" spans="1:18" ht="14.5" hidden="1" x14ac:dyDescent="0.35">
      <c r="A468" s="118" t="s">
        <v>1212</v>
      </c>
      <c r="B468" s="88" t="s">
        <v>1213</v>
      </c>
      <c r="C468" s="119" t="s">
        <v>23</v>
      </c>
      <c r="D468" s="119" t="s">
        <v>892</v>
      </c>
      <c r="E468" s="120" t="s">
        <v>1214</v>
      </c>
      <c r="F468" s="6" t="s">
        <v>25</v>
      </c>
      <c r="G468" s="143">
        <v>680948</v>
      </c>
      <c r="H468" s="121" t="s">
        <v>663</v>
      </c>
      <c r="I468" s="162"/>
      <c r="J468" s="162"/>
      <c r="K468" s="162"/>
      <c r="L468" s="162"/>
      <c r="M468" s="162"/>
      <c r="N468" s="162"/>
      <c r="O468" s="122" t="s">
        <v>664</v>
      </c>
      <c r="P468" s="22"/>
      <c r="Q468" s="83">
        <f t="shared" si="7"/>
        <v>2024</v>
      </c>
      <c r="R468" s="106"/>
    </row>
    <row r="469" spans="1:18" ht="14.5" hidden="1" x14ac:dyDescent="0.35">
      <c r="A469" s="123" t="s">
        <v>1215</v>
      </c>
      <c r="B469" s="124" t="s">
        <v>1216</v>
      </c>
      <c r="C469" s="121" t="s">
        <v>66</v>
      </c>
      <c r="D469" s="121">
        <v>1</v>
      </c>
      <c r="E469" s="120" t="s">
        <v>1217</v>
      </c>
      <c r="F469" s="6" t="s">
        <v>25</v>
      </c>
      <c r="G469" s="143">
        <v>50000</v>
      </c>
      <c r="H469" s="121" t="s">
        <v>749</v>
      </c>
      <c r="I469" s="162"/>
      <c r="J469" s="162"/>
      <c r="K469" s="162"/>
      <c r="L469" s="162"/>
      <c r="M469" s="162"/>
      <c r="N469" s="162"/>
      <c r="O469" s="122" t="s">
        <v>664</v>
      </c>
      <c r="P469" s="6"/>
      <c r="Q469" s="83">
        <f t="shared" si="7"/>
        <v>2024</v>
      </c>
      <c r="R469" s="106"/>
    </row>
    <row r="470" spans="1:18" ht="14.5" hidden="1" customHeight="1" x14ac:dyDescent="0.35">
      <c r="A470" s="123" t="s">
        <v>1218</v>
      </c>
      <c r="B470" s="124" t="s">
        <v>1219</v>
      </c>
      <c r="C470" s="119" t="s">
        <v>61</v>
      </c>
      <c r="D470" s="121">
        <v>1</v>
      </c>
      <c r="E470" s="120" t="s">
        <v>827</v>
      </c>
      <c r="F470" s="6" t="s">
        <v>25</v>
      </c>
      <c r="G470" s="143">
        <v>326808</v>
      </c>
      <c r="H470" s="121" t="s">
        <v>663</v>
      </c>
      <c r="I470" s="162"/>
      <c r="J470" s="162"/>
      <c r="K470" s="162"/>
      <c r="L470" s="162"/>
      <c r="M470" s="162"/>
      <c r="N470" s="162"/>
      <c r="O470" s="122" t="s">
        <v>664</v>
      </c>
      <c r="P470" s="22"/>
      <c r="Q470" s="83">
        <f t="shared" si="7"/>
        <v>2024</v>
      </c>
      <c r="R470" s="106"/>
    </row>
    <row r="471" spans="1:18" ht="14.5" hidden="1" x14ac:dyDescent="0.35">
      <c r="A471" s="123" t="s">
        <v>1218</v>
      </c>
      <c r="B471" s="124" t="s">
        <v>1219</v>
      </c>
      <c r="C471" s="119" t="s">
        <v>61</v>
      </c>
      <c r="D471" s="121" t="s">
        <v>667</v>
      </c>
      <c r="E471" s="120" t="s">
        <v>1220</v>
      </c>
      <c r="F471" s="6" t="s">
        <v>25</v>
      </c>
      <c r="G471" s="143">
        <v>655250</v>
      </c>
      <c r="H471" s="119" t="s">
        <v>709</v>
      </c>
      <c r="I471" s="163" t="s">
        <v>27</v>
      </c>
      <c r="J471" s="163" t="s">
        <v>27</v>
      </c>
      <c r="K471" s="163" t="s">
        <v>27</v>
      </c>
      <c r="L471" s="163" t="s">
        <v>27</v>
      </c>
      <c r="M471" s="163" t="s">
        <v>27</v>
      </c>
      <c r="N471" s="163" t="s">
        <v>27</v>
      </c>
      <c r="O471" s="122" t="s">
        <v>709</v>
      </c>
      <c r="P471" s="22" t="s">
        <v>710</v>
      </c>
      <c r="Q471" s="83">
        <f t="shared" si="7"/>
        <v>2024</v>
      </c>
      <c r="R471" s="106"/>
    </row>
    <row r="472" spans="1:18" ht="14.5" hidden="1" x14ac:dyDescent="0.35">
      <c r="A472" s="123" t="s">
        <v>1218</v>
      </c>
      <c r="B472" s="124" t="s">
        <v>1219</v>
      </c>
      <c r="C472" s="119" t="s">
        <v>61</v>
      </c>
      <c r="D472" s="121">
        <v>2</v>
      </c>
      <c r="E472" s="120" t="s">
        <v>1221</v>
      </c>
      <c r="F472" s="6" t="s">
        <v>25</v>
      </c>
      <c r="G472" s="143">
        <v>255150</v>
      </c>
      <c r="H472" s="119" t="s">
        <v>709</v>
      </c>
      <c r="I472" s="163" t="s">
        <v>27</v>
      </c>
      <c r="J472" s="163" t="s">
        <v>27</v>
      </c>
      <c r="K472" s="163" t="s">
        <v>27</v>
      </c>
      <c r="L472" s="163" t="s">
        <v>27</v>
      </c>
      <c r="M472" s="163" t="s">
        <v>27</v>
      </c>
      <c r="N472" s="163" t="s">
        <v>27</v>
      </c>
      <c r="O472" s="122" t="s">
        <v>709</v>
      </c>
      <c r="P472" s="22"/>
      <c r="Q472" s="83">
        <f t="shared" si="7"/>
        <v>2024</v>
      </c>
      <c r="R472" s="106"/>
    </row>
    <row r="473" spans="1:18" ht="14.5" hidden="1" x14ac:dyDescent="0.35">
      <c r="A473" s="123" t="s">
        <v>1222</v>
      </c>
      <c r="B473" s="124" t="s">
        <v>1223</v>
      </c>
      <c r="C473" s="121" t="s">
        <v>48</v>
      </c>
      <c r="D473" s="121">
        <v>1</v>
      </c>
      <c r="E473" s="120" t="s">
        <v>1224</v>
      </c>
      <c r="F473" s="6" t="s">
        <v>25</v>
      </c>
      <c r="G473" s="143">
        <v>20000</v>
      </c>
      <c r="H473" s="121" t="s">
        <v>726</v>
      </c>
      <c r="I473" s="122" t="s">
        <v>27</v>
      </c>
      <c r="J473" s="122" t="s">
        <v>27</v>
      </c>
      <c r="K473" s="122" t="s">
        <v>27</v>
      </c>
      <c r="L473" s="122" t="s">
        <v>27</v>
      </c>
      <c r="M473" s="122" t="s">
        <v>27</v>
      </c>
      <c r="N473" s="122" t="s">
        <v>27</v>
      </c>
      <c r="O473" s="122" t="s">
        <v>745</v>
      </c>
      <c r="P473" s="22"/>
      <c r="Q473" s="83">
        <f t="shared" si="7"/>
        <v>2024</v>
      </c>
      <c r="R473" s="106"/>
    </row>
    <row r="474" spans="1:18" ht="14.5" hidden="1" customHeight="1" x14ac:dyDescent="0.35">
      <c r="A474" s="123" t="s">
        <v>1222</v>
      </c>
      <c r="B474" s="124" t="s">
        <v>1223</v>
      </c>
      <c r="C474" s="121" t="s">
        <v>48</v>
      </c>
      <c r="D474" s="121">
        <v>2</v>
      </c>
      <c r="E474" s="120" t="s">
        <v>1225</v>
      </c>
      <c r="F474" s="6" t="s">
        <v>25</v>
      </c>
      <c r="G474" s="143">
        <v>216315</v>
      </c>
      <c r="H474" s="121" t="s">
        <v>726</v>
      </c>
      <c r="I474" s="122" t="s">
        <v>27</v>
      </c>
      <c r="J474" s="122" t="s">
        <v>27</v>
      </c>
      <c r="K474" s="122" t="s">
        <v>27</v>
      </c>
      <c r="L474" s="122" t="s">
        <v>27</v>
      </c>
      <c r="M474" s="122" t="s">
        <v>27</v>
      </c>
      <c r="N474" s="122" t="s">
        <v>27</v>
      </c>
      <c r="O474" s="122" t="s">
        <v>745</v>
      </c>
      <c r="P474" s="22"/>
      <c r="Q474" s="83">
        <f t="shared" si="7"/>
        <v>2024</v>
      </c>
      <c r="R474" s="106"/>
    </row>
    <row r="475" spans="1:18" ht="14.5" hidden="1" customHeight="1" x14ac:dyDescent="0.35">
      <c r="A475" s="123" t="s">
        <v>390</v>
      </c>
      <c r="B475" s="124" t="s">
        <v>1223</v>
      </c>
      <c r="C475" s="121" t="s">
        <v>48</v>
      </c>
      <c r="D475" s="121">
        <v>3</v>
      </c>
      <c r="E475" s="120" t="s">
        <v>1226</v>
      </c>
      <c r="F475" s="6" t="s">
        <v>25</v>
      </c>
      <c r="G475" s="143">
        <v>90000</v>
      </c>
      <c r="H475" s="121" t="s">
        <v>663</v>
      </c>
      <c r="I475" s="162"/>
      <c r="J475" s="162"/>
      <c r="K475" s="162"/>
      <c r="L475" s="162"/>
      <c r="M475" s="162"/>
      <c r="N475" s="162"/>
      <c r="O475" s="122" t="s">
        <v>664</v>
      </c>
      <c r="P475" s="75"/>
      <c r="Q475" s="83">
        <f t="shared" si="7"/>
        <v>2024</v>
      </c>
      <c r="R475" s="106"/>
    </row>
    <row r="476" spans="1:18" ht="14.5" hidden="1" customHeight="1" x14ac:dyDescent="0.35">
      <c r="A476" s="123" t="s">
        <v>1222</v>
      </c>
      <c r="B476" s="124" t="s">
        <v>1223</v>
      </c>
      <c r="C476" s="121" t="s">
        <v>48</v>
      </c>
      <c r="D476" s="121" t="s">
        <v>671</v>
      </c>
      <c r="E476" s="120" t="s">
        <v>1226</v>
      </c>
      <c r="F476" s="6" t="s">
        <v>25</v>
      </c>
      <c r="G476" s="143">
        <v>90000</v>
      </c>
      <c r="H476" s="121" t="s">
        <v>726</v>
      </c>
      <c r="I476" s="122" t="s">
        <v>27</v>
      </c>
      <c r="J476" s="122" t="s">
        <v>27</v>
      </c>
      <c r="K476" s="122" t="s">
        <v>27</v>
      </c>
      <c r="L476" s="122" t="s">
        <v>27</v>
      </c>
      <c r="M476" s="122" t="s">
        <v>27</v>
      </c>
      <c r="N476" s="122" t="s">
        <v>27</v>
      </c>
      <c r="O476" s="122" t="s">
        <v>745</v>
      </c>
      <c r="P476" s="22"/>
      <c r="Q476" s="83">
        <f t="shared" si="7"/>
        <v>2024</v>
      </c>
      <c r="R476" s="106"/>
    </row>
    <row r="477" spans="1:18" ht="14.5" hidden="1" x14ac:dyDescent="0.35">
      <c r="A477" s="123" t="s">
        <v>1222</v>
      </c>
      <c r="B477" s="124" t="s">
        <v>1223</v>
      </c>
      <c r="C477" s="121" t="s">
        <v>48</v>
      </c>
      <c r="D477" s="121">
        <v>4</v>
      </c>
      <c r="E477" s="120" t="s">
        <v>1227</v>
      </c>
      <c r="F477" s="6" t="s">
        <v>25</v>
      </c>
      <c r="G477" s="143">
        <v>30000</v>
      </c>
      <c r="H477" s="121" t="s">
        <v>663</v>
      </c>
      <c r="I477" s="162"/>
      <c r="J477" s="162"/>
      <c r="K477" s="162"/>
      <c r="L477" s="162"/>
      <c r="M477" s="162"/>
      <c r="N477" s="162"/>
      <c r="O477" s="122" t="s">
        <v>664</v>
      </c>
      <c r="P477" s="75"/>
      <c r="Q477" s="83">
        <f t="shared" si="7"/>
        <v>2024</v>
      </c>
      <c r="R477" s="106"/>
    </row>
    <row r="478" spans="1:18" ht="14.5" hidden="1" customHeight="1" x14ac:dyDescent="0.35">
      <c r="A478" s="123" t="s">
        <v>1222</v>
      </c>
      <c r="B478" s="124" t="s">
        <v>1223</v>
      </c>
      <c r="C478" s="121" t="s">
        <v>48</v>
      </c>
      <c r="D478" s="121">
        <v>5</v>
      </c>
      <c r="E478" s="120" t="s">
        <v>1228</v>
      </c>
      <c r="F478" s="6" t="s">
        <v>25</v>
      </c>
      <c r="G478" s="143">
        <v>295000</v>
      </c>
      <c r="H478" s="121" t="s">
        <v>663</v>
      </c>
      <c r="I478" s="162"/>
      <c r="J478" s="162"/>
      <c r="K478" s="162"/>
      <c r="L478" s="162"/>
      <c r="M478" s="162"/>
      <c r="N478" s="162"/>
      <c r="O478" s="122" t="s">
        <v>664</v>
      </c>
      <c r="P478" s="75"/>
      <c r="Q478" s="83">
        <f t="shared" si="7"/>
        <v>2024</v>
      </c>
      <c r="R478" s="106"/>
    </row>
    <row r="479" spans="1:18" ht="14.5" hidden="1" customHeight="1" x14ac:dyDescent="0.35">
      <c r="A479" s="118" t="s">
        <v>1229</v>
      </c>
      <c r="B479" s="88" t="s">
        <v>1230</v>
      </c>
      <c r="C479" s="119" t="s">
        <v>23</v>
      </c>
      <c r="D479" s="119">
        <v>1</v>
      </c>
      <c r="E479" s="120" t="s">
        <v>1231</v>
      </c>
      <c r="F479" s="6" t="s">
        <v>25</v>
      </c>
      <c r="G479" s="143">
        <v>177879</v>
      </c>
      <c r="H479" s="121" t="s">
        <v>663</v>
      </c>
      <c r="I479" s="162"/>
      <c r="J479" s="162"/>
      <c r="K479" s="162"/>
      <c r="L479" s="162"/>
      <c r="M479" s="162"/>
      <c r="N479" s="162"/>
      <c r="O479" s="122" t="s">
        <v>664</v>
      </c>
      <c r="P479" s="22"/>
      <c r="Q479" s="83">
        <f t="shared" si="7"/>
        <v>2024</v>
      </c>
      <c r="R479" s="106"/>
    </row>
    <row r="480" spans="1:18" ht="14.5" hidden="1" customHeight="1" x14ac:dyDescent="0.35">
      <c r="A480" s="118" t="s">
        <v>1229</v>
      </c>
      <c r="B480" s="88" t="s">
        <v>1230</v>
      </c>
      <c r="C480" s="119" t="s">
        <v>23</v>
      </c>
      <c r="D480" s="119" t="s">
        <v>667</v>
      </c>
      <c r="E480" s="120" t="s">
        <v>1231</v>
      </c>
      <c r="F480" s="6" t="s">
        <v>25</v>
      </c>
      <c r="G480" s="143">
        <v>435659</v>
      </c>
      <c r="H480" s="121" t="s">
        <v>663</v>
      </c>
      <c r="I480" s="162"/>
      <c r="J480" s="162"/>
      <c r="K480" s="162"/>
      <c r="L480" s="162"/>
      <c r="M480" s="162"/>
      <c r="N480" s="162"/>
      <c r="O480" s="122" t="s">
        <v>664</v>
      </c>
      <c r="P480" s="22"/>
      <c r="Q480" s="83">
        <f t="shared" si="7"/>
        <v>2024</v>
      </c>
      <c r="R480" s="106"/>
    </row>
    <row r="481" spans="1:18" ht="14.5" hidden="1" customHeight="1" x14ac:dyDescent="0.35">
      <c r="A481" s="118" t="s">
        <v>1229</v>
      </c>
      <c r="B481" s="88" t="s">
        <v>1230</v>
      </c>
      <c r="C481" s="119" t="s">
        <v>23</v>
      </c>
      <c r="D481" s="121" t="s">
        <v>667</v>
      </c>
      <c r="E481" s="120" t="s">
        <v>1231</v>
      </c>
      <c r="F481" s="6" t="s">
        <v>25</v>
      </c>
      <c r="G481" s="143">
        <v>435662</v>
      </c>
      <c r="H481" s="119" t="s">
        <v>709</v>
      </c>
      <c r="I481" s="163" t="s">
        <v>27</v>
      </c>
      <c r="J481" s="163" t="s">
        <v>27</v>
      </c>
      <c r="K481" s="163" t="s">
        <v>27</v>
      </c>
      <c r="L481" s="163" t="s">
        <v>27</v>
      </c>
      <c r="M481" s="163" t="s">
        <v>27</v>
      </c>
      <c r="N481" s="163" t="s">
        <v>27</v>
      </c>
      <c r="O481" s="122" t="s">
        <v>709</v>
      </c>
      <c r="P481" s="22" t="s">
        <v>787</v>
      </c>
      <c r="Q481" s="83">
        <f t="shared" si="7"/>
        <v>2024</v>
      </c>
      <c r="R481" s="106"/>
    </row>
    <row r="482" spans="1:18" ht="14.5" hidden="1" x14ac:dyDescent="0.35">
      <c r="A482" s="123" t="s">
        <v>1232</v>
      </c>
      <c r="B482" s="124" t="s">
        <v>1233</v>
      </c>
      <c r="C482" s="121" t="s">
        <v>42</v>
      </c>
      <c r="D482" s="121">
        <v>1</v>
      </c>
      <c r="E482" s="120" t="s">
        <v>1234</v>
      </c>
      <c r="F482" s="6" t="s">
        <v>44</v>
      </c>
      <c r="G482" s="143">
        <v>15000</v>
      </c>
      <c r="H482" s="121" t="s">
        <v>749</v>
      </c>
      <c r="I482" s="162"/>
      <c r="J482" s="162"/>
      <c r="K482" s="162"/>
      <c r="L482" s="162"/>
      <c r="M482" s="162"/>
      <c r="N482" s="162"/>
      <c r="O482" s="122" t="s">
        <v>664</v>
      </c>
      <c r="P482" s="22"/>
      <c r="Q482" s="83">
        <f t="shared" si="7"/>
        <v>2024</v>
      </c>
      <c r="R482" s="106"/>
    </row>
    <row r="483" spans="1:18" ht="14.5" hidden="1" customHeight="1" x14ac:dyDescent="0.35">
      <c r="A483" s="123" t="s">
        <v>1235</v>
      </c>
      <c r="B483" s="124" t="s">
        <v>1236</v>
      </c>
      <c r="C483" s="121" t="s">
        <v>116</v>
      </c>
      <c r="D483" s="121">
        <v>1</v>
      </c>
      <c r="E483" s="120" t="s">
        <v>716</v>
      </c>
      <c r="F483" s="6" t="s">
        <v>25</v>
      </c>
      <c r="G483" s="143">
        <v>420000</v>
      </c>
      <c r="H483" s="121" t="s">
        <v>663</v>
      </c>
      <c r="I483" s="162"/>
      <c r="J483" s="162"/>
      <c r="K483" s="162"/>
      <c r="L483" s="162"/>
      <c r="M483" s="162"/>
      <c r="N483" s="162"/>
      <c r="O483" s="122" t="s">
        <v>664</v>
      </c>
      <c r="P483" s="22"/>
      <c r="Q483" s="83">
        <f t="shared" si="7"/>
        <v>2024</v>
      </c>
      <c r="R483" s="106"/>
    </row>
    <row r="484" spans="1:18" ht="14.5" customHeight="1" x14ac:dyDescent="0.35">
      <c r="A484" s="123" t="s">
        <v>1235</v>
      </c>
      <c r="B484" s="124" t="s">
        <v>1236</v>
      </c>
      <c r="C484" s="121" t="s">
        <v>116</v>
      </c>
      <c r="D484" s="121" t="s">
        <v>1237</v>
      </c>
      <c r="E484" s="120" t="s">
        <v>716</v>
      </c>
      <c r="F484" s="6" t="s">
        <v>25</v>
      </c>
      <c r="G484" s="143">
        <v>360000</v>
      </c>
      <c r="H484" s="121" t="s">
        <v>726</v>
      </c>
      <c r="I484" s="122" t="s">
        <v>27</v>
      </c>
      <c r="J484" s="122" t="s">
        <v>27</v>
      </c>
      <c r="K484" s="122" t="s">
        <v>27</v>
      </c>
      <c r="L484" s="122" t="s">
        <v>27</v>
      </c>
      <c r="M484" s="6" t="s">
        <v>28</v>
      </c>
      <c r="N484" s="122"/>
      <c r="O484" s="122" t="s">
        <v>756</v>
      </c>
      <c r="P484" s="22" t="s">
        <v>1238</v>
      </c>
      <c r="Q484" s="83">
        <f t="shared" si="7"/>
        <v>2024</v>
      </c>
      <c r="R484" s="125">
        <v>45832</v>
      </c>
    </row>
    <row r="485" spans="1:18" ht="14.5" x14ac:dyDescent="0.35">
      <c r="A485" s="123" t="s">
        <v>1235</v>
      </c>
      <c r="B485" s="124" t="s">
        <v>1236</v>
      </c>
      <c r="C485" s="121" t="s">
        <v>116</v>
      </c>
      <c r="D485" s="121">
        <v>2</v>
      </c>
      <c r="E485" s="120" t="s">
        <v>662</v>
      </c>
      <c r="F485" s="6" t="s">
        <v>25</v>
      </c>
      <c r="G485" s="143">
        <v>7860</v>
      </c>
      <c r="H485" s="121" t="s">
        <v>726</v>
      </c>
      <c r="I485" s="122" t="s">
        <v>27</v>
      </c>
      <c r="J485" s="122" t="s">
        <v>27</v>
      </c>
      <c r="K485" s="122" t="s">
        <v>27</v>
      </c>
      <c r="L485" s="122" t="s">
        <v>27</v>
      </c>
      <c r="M485" s="6" t="s">
        <v>28</v>
      </c>
      <c r="N485" s="122"/>
      <c r="O485" s="122" t="s">
        <v>756</v>
      </c>
      <c r="P485" s="22" t="s">
        <v>1239</v>
      </c>
      <c r="Q485" s="83">
        <f t="shared" si="7"/>
        <v>2024</v>
      </c>
      <c r="R485" s="125">
        <v>45863</v>
      </c>
    </row>
    <row r="486" spans="1:18" ht="14.5" x14ac:dyDescent="0.35">
      <c r="A486" s="123" t="s">
        <v>1240</v>
      </c>
      <c r="B486" s="124" t="s">
        <v>340</v>
      </c>
      <c r="C486" s="121" t="s">
        <v>48</v>
      </c>
      <c r="D486" s="121">
        <v>1</v>
      </c>
      <c r="E486" s="120" t="s">
        <v>1241</v>
      </c>
      <c r="F486" s="6" t="s">
        <v>25</v>
      </c>
      <c r="G486" s="143">
        <v>11000</v>
      </c>
      <c r="H486" s="121" t="s">
        <v>726</v>
      </c>
      <c r="I486" s="122" t="s">
        <v>27</v>
      </c>
      <c r="J486" s="122" t="s">
        <v>27</v>
      </c>
      <c r="K486" s="122" t="s">
        <v>27</v>
      </c>
      <c r="L486" s="122" t="s">
        <v>27</v>
      </c>
      <c r="M486" s="166" t="s">
        <v>27</v>
      </c>
      <c r="N486" s="6" t="s">
        <v>28</v>
      </c>
      <c r="O486" s="122" t="s">
        <v>756</v>
      </c>
      <c r="P486" s="22" t="s">
        <v>1242</v>
      </c>
      <c r="Q486" s="83">
        <f t="shared" si="7"/>
        <v>2024</v>
      </c>
      <c r="R486" s="125">
        <v>45826</v>
      </c>
    </row>
    <row r="487" spans="1:18" ht="14.5" customHeight="1" x14ac:dyDescent="0.35">
      <c r="A487" s="123" t="s">
        <v>1243</v>
      </c>
      <c r="B487" s="124" t="s">
        <v>1244</v>
      </c>
      <c r="C487" s="121" t="s">
        <v>48</v>
      </c>
      <c r="D487" s="121">
        <v>1</v>
      </c>
      <c r="E487" s="120" t="s">
        <v>1095</v>
      </c>
      <c r="F487" s="6" t="s">
        <v>25</v>
      </c>
      <c r="G487" s="143">
        <v>810000</v>
      </c>
      <c r="H487" s="121" t="s">
        <v>726</v>
      </c>
      <c r="I487" s="122" t="s">
        <v>27</v>
      </c>
      <c r="J487" s="122" t="s">
        <v>27</v>
      </c>
      <c r="K487" s="122" t="s">
        <v>27</v>
      </c>
      <c r="L487" s="122" t="s">
        <v>27</v>
      </c>
      <c r="M487" s="166" t="s">
        <v>27</v>
      </c>
      <c r="N487" s="6" t="s">
        <v>28</v>
      </c>
      <c r="O487" s="122" t="s">
        <v>756</v>
      </c>
      <c r="P487" s="22" t="s">
        <v>1242</v>
      </c>
      <c r="Q487" s="83">
        <f t="shared" si="7"/>
        <v>2025</v>
      </c>
      <c r="R487" s="125">
        <v>45826</v>
      </c>
    </row>
    <row r="488" spans="1:18" ht="14.5" hidden="1" x14ac:dyDescent="0.35">
      <c r="A488" s="123" t="s">
        <v>362</v>
      </c>
      <c r="B488" s="124" t="s">
        <v>363</v>
      </c>
      <c r="C488" s="121" t="s">
        <v>48</v>
      </c>
      <c r="D488" s="121">
        <v>1</v>
      </c>
      <c r="E488" s="120" t="s">
        <v>1245</v>
      </c>
      <c r="F488" s="6" t="s">
        <v>25</v>
      </c>
      <c r="G488" s="143">
        <v>177079</v>
      </c>
      <c r="H488" s="121" t="s">
        <v>726</v>
      </c>
      <c r="I488" s="122" t="s">
        <v>27</v>
      </c>
      <c r="J488" s="122" t="s">
        <v>27</v>
      </c>
      <c r="K488" s="122" t="s">
        <v>27</v>
      </c>
      <c r="L488" s="122" t="s">
        <v>27</v>
      </c>
      <c r="M488" s="122" t="s">
        <v>27</v>
      </c>
      <c r="N488" s="122" t="s">
        <v>27</v>
      </c>
      <c r="O488" s="122" t="s">
        <v>745</v>
      </c>
      <c r="P488" s="22"/>
      <c r="Q488" s="83">
        <f t="shared" si="7"/>
        <v>2024</v>
      </c>
      <c r="R488" s="106"/>
    </row>
    <row r="489" spans="1:18" ht="14.5" hidden="1" customHeight="1" x14ac:dyDescent="0.35">
      <c r="A489" s="123" t="s">
        <v>1246</v>
      </c>
      <c r="B489" s="124" t="s">
        <v>1247</v>
      </c>
      <c r="C489" s="121" t="s">
        <v>1209</v>
      </c>
      <c r="D489" s="121">
        <v>1</v>
      </c>
      <c r="E489" s="120" t="s">
        <v>1248</v>
      </c>
      <c r="F489" s="6" t="s">
        <v>25</v>
      </c>
      <c r="G489" s="143">
        <v>17105</v>
      </c>
      <c r="H489" s="121" t="s">
        <v>709</v>
      </c>
      <c r="I489" s="163" t="s">
        <v>27</v>
      </c>
      <c r="J489" s="163" t="s">
        <v>27</v>
      </c>
      <c r="K489" s="163" t="s">
        <v>27</v>
      </c>
      <c r="L489" s="163" t="s">
        <v>27</v>
      </c>
      <c r="M489" s="163" t="s">
        <v>27</v>
      </c>
      <c r="N489" s="163" t="s">
        <v>27</v>
      </c>
      <c r="O489" s="122" t="s">
        <v>709</v>
      </c>
      <c r="P489" s="22"/>
      <c r="Q489" s="83">
        <f t="shared" si="7"/>
        <v>2023</v>
      </c>
      <c r="R489" s="106"/>
    </row>
    <row r="490" spans="1:18" ht="14.5" hidden="1" customHeight="1" x14ac:dyDescent="0.35">
      <c r="A490" s="123" t="s">
        <v>227</v>
      </c>
      <c r="B490" s="124" t="s">
        <v>1249</v>
      </c>
      <c r="C490" s="121" t="s">
        <v>100</v>
      </c>
      <c r="D490" s="121">
        <v>1</v>
      </c>
      <c r="E490" s="120" t="s">
        <v>1250</v>
      </c>
      <c r="F490" s="6" t="s">
        <v>77</v>
      </c>
      <c r="G490" s="143">
        <v>396000</v>
      </c>
      <c r="H490" s="121" t="s">
        <v>663</v>
      </c>
      <c r="I490" s="162"/>
      <c r="J490" s="162"/>
      <c r="K490" s="162"/>
      <c r="L490" s="162"/>
      <c r="M490" s="162"/>
      <c r="N490" s="162"/>
      <c r="O490" s="122" t="s">
        <v>664</v>
      </c>
      <c r="P490" s="22"/>
      <c r="Q490" s="83">
        <f t="shared" si="7"/>
        <v>2025</v>
      </c>
      <c r="R490" s="106"/>
    </row>
    <row r="491" spans="1:18" ht="14.5" hidden="1" customHeight="1" x14ac:dyDescent="0.35">
      <c r="A491" s="118" t="s">
        <v>952</v>
      </c>
      <c r="B491" s="88" t="s">
        <v>953</v>
      </c>
      <c r="C491" s="119" t="s">
        <v>23</v>
      </c>
      <c r="D491" s="119">
        <v>6</v>
      </c>
      <c r="E491" s="120" t="s">
        <v>1251</v>
      </c>
      <c r="F491" s="6" t="s">
        <v>25</v>
      </c>
      <c r="G491" s="143">
        <v>162000</v>
      </c>
      <c r="H491" s="121" t="s">
        <v>663</v>
      </c>
      <c r="I491" s="162"/>
      <c r="J491" s="162"/>
      <c r="K491" s="162"/>
      <c r="L491" s="162"/>
      <c r="M491" s="162"/>
      <c r="N491" s="162"/>
      <c r="O491" s="122" t="s">
        <v>664</v>
      </c>
      <c r="P491" s="22"/>
      <c r="Q491" s="83">
        <f t="shared" si="7"/>
        <v>2021</v>
      </c>
      <c r="R491" s="106"/>
    </row>
    <row r="492" spans="1:18" ht="14.5" hidden="1" x14ac:dyDescent="0.35">
      <c r="A492" s="123" t="s">
        <v>1252</v>
      </c>
      <c r="B492" s="124" t="s">
        <v>314</v>
      </c>
      <c r="C492" s="121" t="s">
        <v>48</v>
      </c>
      <c r="D492" s="121">
        <v>1</v>
      </c>
      <c r="E492" s="120" t="s">
        <v>1253</v>
      </c>
      <c r="F492" s="6" t="s">
        <v>25</v>
      </c>
      <c r="G492" s="143">
        <v>-32890</v>
      </c>
      <c r="H492" s="121" t="s">
        <v>709</v>
      </c>
      <c r="I492" s="163" t="s">
        <v>27</v>
      </c>
      <c r="J492" s="163" t="s">
        <v>27</v>
      </c>
      <c r="K492" s="163" t="s">
        <v>27</v>
      </c>
      <c r="L492" s="163" t="s">
        <v>27</v>
      </c>
      <c r="M492" s="163" t="s">
        <v>27</v>
      </c>
      <c r="N492" s="163" t="s">
        <v>27</v>
      </c>
      <c r="O492" s="122" t="s">
        <v>709</v>
      </c>
      <c r="P492" s="22"/>
      <c r="Q492" s="83">
        <f t="shared" si="7"/>
        <v>2024</v>
      </c>
      <c r="R492" s="106"/>
    </row>
    <row r="493" spans="1:18" ht="14.5" hidden="1" customHeight="1" x14ac:dyDescent="0.35">
      <c r="A493" s="123" t="s">
        <v>1252</v>
      </c>
      <c r="B493" s="124" t="s">
        <v>314</v>
      </c>
      <c r="C493" s="121" t="s">
        <v>48</v>
      </c>
      <c r="D493" s="121" t="s">
        <v>1254</v>
      </c>
      <c r="E493" s="120" t="s">
        <v>1255</v>
      </c>
      <c r="F493" s="6" t="s">
        <v>25</v>
      </c>
      <c r="G493" s="143">
        <v>1160</v>
      </c>
      <c r="H493" s="121" t="s">
        <v>663</v>
      </c>
      <c r="I493" s="162"/>
      <c r="J493" s="162"/>
      <c r="K493" s="162"/>
      <c r="L493" s="162"/>
      <c r="M493" s="162"/>
      <c r="N493" s="162"/>
      <c r="O493" s="122" t="s">
        <v>664</v>
      </c>
      <c r="P493" s="75"/>
      <c r="Q493" s="83">
        <f t="shared" si="7"/>
        <v>2024</v>
      </c>
      <c r="R493" s="106"/>
    </row>
    <row r="494" spans="1:18" ht="14.5" customHeight="1" x14ac:dyDescent="0.35">
      <c r="A494" s="123" t="s">
        <v>1252</v>
      </c>
      <c r="B494" s="124" t="s">
        <v>314</v>
      </c>
      <c r="C494" s="121" t="s">
        <v>48</v>
      </c>
      <c r="D494" s="121" t="s">
        <v>671</v>
      </c>
      <c r="E494" s="120" t="s">
        <v>1256</v>
      </c>
      <c r="F494" s="6" t="s">
        <v>25</v>
      </c>
      <c r="G494" s="143">
        <v>4605660</v>
      </c>
      <c r="H494" s="121" t="s">
        <v>726</v>
      </c>
      <c r="I494" s="122" t="s">
        <v>27</v>
      </c>
      <c r="J494" s="122" t="s">
        <v>27</v>
      </c>
      <c r="K494" s="122" t="s">
        <v>27</v>
      </c>
      <c r="L494" s="122" t="s">
        <v>27</v>
      </c>
      <c r="M494" s="166" t="s">
        <v>27</v>
      </c>
      <c r="N494" s="6" t="s">
        <v>28</v>
      </c>
      <c r="O494" s="122" t="s">
        <v>756</v>
      </c>
      <c r="P494" s="22" t="s">
        <v>1242</v>
      </c>
      <c r="Q494" s="83">
        <f t="shared" si="7"/>
        <v>2024</v>
      </c>
      <c r="R494" s="125">
        <v>45915</v>
      </c>
    </row>
    <row r="495" spans="1:18" ht="14.5" hidden="1" customHeight="1" x14ac:dyDescent="0.35">
      <c r="A495" s="118" t="s">
        <v>1177</v>
      </c>
      <c r="B495" s="88" t="s">
        <v>1178</v>
      </c>
      <c r="C495" s="119" t="s">
        <v>23</v>
      </c>
      <c r="D495" s="121">
        <v>2</v>
      </c>
      <c r="E495" s="120" t="s">
        <v>1257</v>
      </c>
      <c r="F495" s="6" t="s">
        <v>25</v>
      </c>
      <c r="G495" s="143">
        <v>160600</v>
      </c>
      <c r="H495" s="119" t="s">
        <v>709</v>
      </c>
      <c r="I495" s="122" t="s">
        <v>27</v>
      </c>
      <c r="J495" s="122" t="s">
        <v>27</v>
      </c>
      <c r="K495" s="122" t="s">
        <v>27</v>
      </c>
      <c r="L495" s="122" t="s">
        <v>27</v>
      </c>
      <c r="M495" s="122" t="s">
        <v>27</v>
      </c>
      <c r="N495" s="122" t="s">
        <v>27</v>
      </c>
      <c r="O495" s="122" t="s">
        <v>745</v>
      </c>
      <c r="P495" s="22"/>
      <c r="Q495" s="83">
        <f t="shared" si="7"/>
        <v>2024</v>
      </c>
      <c r="R495" s="106"/>
    </row>
    <row r="496" spans="1:18" ht="14.5" hidden="1" customHeight="1" x14ac:dyDescent="0.35">
      <c r="A496" s="118" t="s">
        <v>1177</v>
      </c>
      <c r="B496" s="88" t="s">
        <v>1178</v>
      </c>
      <c r="C496" s="119" t="s">
        <v>23</v>
      </c>
      <c r="D496" s="121" t="s">
        <v>1258</v>
      </c>
      <c r="E496" s="120" t="s">
        <v>1259</v>
      </c>
      <c r="F496" s="6" t="s">
        <v>25</v>
      </c>
      <c r="G496" s="143">
        <v>25000</v>
      </c>
      <c r="H496" s="119" t="s">
        <v>709</v>
      </c>
      <c r="I496" s="163" t="s">
        <v>27</v>
      </c>
      <c r="J496" s="163" t="s">
        <v>27</v>
      </c>
      <c r="K496" s="163" t="s">
        <v>27</v>
      </c>
      <c r="L496" s="163" t="s">
        <v>27</v>
      </c>
      <c r="M496" s="163" t="s">
        <v>27</v>
      </c>
      <c r="N496" s="163" t="s">
        <v>27</v>
      </c>
      <c r="O496" s="122" t="s">
        <v>709</v>
      </c>
      <c r="P496" s="22" t="s">
        <v>787</v>
      </c>
      <c r="Q496" s="83">
        <f t="shared" si="7"/>
        <v>2024</v>
      </c>
      <c r="R496" s="106"/>
    </row>
    <row r="497" spans="1:18" ht="14.5" customHeight="1" x14ac:dyDescent="0.35">
      <c r="A497" s="123" t="s">
        <v>1260</v>
      </c>
      <c r="B497" s="124" t="s">
        <v>1261</v>
      </c>
      <c r="C497" s="121" t="s">
        <v>66</v>
      </c>
      <c r="D497" s="121">
        <v>1</v>
      </c>
      <c r="E497" s="120" t="s">
        <v>1262</v>
      </c>
      <c r="F497" s="6" t="s">
        <v>25</v>
      </c>
      <c r="G497" s="143">
        <v>159296</v>
      </c>
      <c r="H497" s="6" t="s">
        <v>726</v>
      </c>
      <c r="I497" s="166" t="s">
        <v>27</v>
      </c>
      <c r="J497" s="166" t="s">
        <v>27</v>
      </c>
      <c r="K497" s="166" t="s">
        <v>27</v>
      </c>
      <c r="L497" s="166" t="s">
        <v>27</v>
      </c>
      <c r="M497" s="6" t="s">
        <v>28</v>
      </c>
      <c r="N497" s="122"/>
      <c r="O497" s="122" t="s">
        <v>756</v>
      </c>
      <c r="P497" s="22" t="s">
        <v>1263</v>
      </c>
      <c r="Q497" s="83">
        <f t="shared" si="7"/>
        <v>2022</v>
      </c>
      <c r="R497" s="125">
        <v>45915</v>
      </c>
    </row>
    <row r="498" spans="1:18" ht="14.5" hidden="1" customHeight="1" x14ac:dyDescent="0.35">
      <c r="A498" s="123" t="s">
        <v>1264</v>
      </c>
      <c r="B498" s="124" t="s">
        <v>1265</v>
      </c>
      <c r="C498" s="119" t="s">
        <v>61</v>
      </c>
      <c r="D498" s="121">
        <v>1</v>
      </c>
      <c r="E498" s="131" t="s">
        <v>1266</v>
      </c>
      <c r="F498" s="90" t="s">
        <v>53</v>
      </c>
      <c r="G498" s="143">
        <v>3308</v>
      </c>
      <c r="H498" s="119" t="s">
        <v>709</v>
      </c>
      <c r="I498" s="163" t="s">
        <v>27</v>
      </c>
      <c r="J498" s="163" t="s">
        <v>27</v>
      </c>
      <c r="K498" s="163" t="s">
        <v>27</v>
      </c>
      <c r="L498" s="163" t="s">
        <v>27</v>
      </c>
      <c r="M498" s="163" t="s">
        <v>27</v>
      </c>
      <c r="N498" s="163" t="s">
        <v>27</v>
      </c>
      <c r="O498" s="122" t="s">
        <v>709</v>
      </c>
      <c r="P498" s="14"/>
      <c r="Q498" s="83">
        <f t="shared" si="7"/>
        <v>2025</v>
      </c>
      <c r="R498" s="106"/>
    </row>
    <row r="499" spans="1:18" ht="14.5" customHeight="1" x14ac:dyDescent="0.35">
      <c r="A499" s="118" t="s">
        <v>224</v>
      </c>
      <c r="B499" s="88" t="s">
        <v>225</v>
      </c>
      <c r="C499" s="119" t="s">
        <v>23</v>
      </c>
      <c r="D499" s="121">
        <v>1</v>
      </c>
      <c r="E499" s="131" t="s">
        <v>1267</v>
      </c>
      <c r="F499" s="6" t="s">
        <v>77</v>
      </c>
      <c r="G499" s="143">
        <v>650000</v>
      </c>
      <c r="H499" s="119" t="s">
        <v>781</v>
      </c>
      <c r="I499" s="163" t="s">
        <v>27</v>
      </c>
      <c r="J499" s="163" t="s">
        <v>27</v>
      </c>
      <c r="K499" s="163" t="s">
        <v>27</v>
      </c>
      <c r="L499" s="6" t="s">
        <v>28</v>
      </c>
      <c r="M499" s="122"/>
      <c r="N499" s="122"/>
      <c r="O499" s="122" t="s">
        <v>756</v>
      </c>
      <c r="P499" s="164" t="s">
        <v>1268</v>
      </c>
      <c r="Q499" s="83">
        <f t="shared" si="7"/>
        <v>2025</v>
      </c>
      <c r="R499" s="128">
        <v>45897</v>
      </c>
    </row>
    <row r="500" spans="1:18" ht="14.5" customHeight="1" x14ac:dyDescent="0.35">
      <c r="A500" s="123" t="s">
        <v>177</v>
      </c>
      <c r="B500" s="124" t="s">
        <v>1269</v>
      </c>
      <c r="C500" s="121" t="s">
        <v>48</v>
      </c>
      <c r="D500" s="119">
        <v>1</v>
      </c>
      <c r="E500" s="120" t="s">
        <v>1270</v>
      </c>
      <c r="F500" s="6" t="s">
        <v>44</v>
      </c>
      <c r="G500" s="143">
        <v>1486668</v>
      </c>
      <c r="H500" s="121" t="s">
        <v>781</v>
      </c>
      <c r="I500" s="167" t="s">
        <v>27</v>
      </c>
      <c r="J500" s="167" t="s">
        <v>27</v>
      </c>
      <c r="K500" s="167" t="s">
        <v>27</v>
      </c>
      <c r="L500" s="6" t="s">
        <v>28</v>
      </c>
      <c r="M500" s="122"/>
      <c r="N500" s="122"/>
      <c r="O500" s="122" t="s">
        <v>756</v>
      </c>
      <c r="P500" s="22" t="s">
        <v>1271</v>
      </c>
      <c r="Q500" s="83">
        <f t="shared" si="7"/>
        <v>2025</v>
      </c>
      <c r="R500" s="125">
        <v>45931</v>
      </c>
    </row>
    <row r="501" spans="1:18" ht="14.5" hidden="1" customHeight="1" x14ac:dyDescent="0.35">
      <c r="A501" s="123" t="s">
        <v>175</v>
      </c>
      <c r="B501" s="124" t="s">
        <v>1272</v>
      </c>
      <c r="C501" s="121" t="s">
        <v>48</v>
      </c>
      <c r="D501" s="119">
        <v>1</v>
      </c>
      <c r="E501" s="132" t="s">
        <v>1273</v>
      </c>
      <c r="F501" s="6" t="s">
        <v>25</v>
      </c>
      <c r="G501" s="143">
        <v>465000</v>
      </c>
      <c r="H501" s="121" t="s">
        <v>663</v>
      </c>
      <c r="I501" s="162"/>
      <c r="J501" s="162"/>
      <c r="K501" s="162"/>
      <c r="L501" s="162"/>
      <c r="M501" s="162"/>
      <c r="N501" s="162"/>
      <c r="O501" s="122" t="s">
        <v>664</v>
      </c>
      <c r="P501" s="22"/>
      <c r="Q501" s="83">
        <f t="shared" si="7"/>
        <v>2025</v>
      </c>
      <c r="R501" s="106"/>
    </row>
    <row r="502" spans="1:18" ht="14.5" hidden="1" x14ac:dyDescent="0.35">
      <c r="A502" s="123" t="s">
        <v>1274</v>
      </c>
      <c r="B502" s="124" t="s">
        <v>1275</v>
      </c>
      <c r="C502" s="121" t="s">
        <v>116</v>
      </c>
      <c r="D502" s="119">
        <v>1</v>
      </c>
      <c r="E502" s="133" t="s">
        <v>1276</v>
      </c>
      <c r="F502" s="6" t="s">
        <v>25</v>
      </c>
      <c r="G502" s="143">
        <v>15000</v>
      </c>
      <c r="H502" s="121" t="s">
        <v>709</v>
      </c>
      <c r="I502" s="122" t="s">
        <v>27</v>
      </c>
      <c r="J502" s="122" t="s">
        <v>27</v>
      </c>
      <c r="K502" s="122" t="s">
        <v>27</v>
      </c>
      <c r="L502" s="122" t="s">
        <v>27</v>
      </c>
      <c r="M502" s="122" t="s">
        <v>27</v>
      </c>
      <c r="N502" s="122" t="s">
        <v>27</v>
      </c>
      <c r="O502" s="122" t="s">
        <v>745</v>
      </c>
      <c r="P502" s="22"/>
      <c r="Q502" s="83">
        <f t="shared" si="7"/>
        <v>2024</v>
      </c>
      <c r="R502" s="106"/>
    </row>
    <row r="503" spans="1:18" ht="14.5" hidden="1" x14ac:dyDescent="0.35">
      <c r="A503" s="118" t="s">
        <v>952</v>
      </c>
      <c r="B503" s="88" t="s">
        <v>953</v>
      </c>
      <c r="C503" s="119" t="s">
        <v>23</v>
      </c>
      <c r="D503" s="119">
        <v>6</v>
      </c>
      <c r="E503" s="120" t="s">
        <v>1251</v>
      </c>
      <c r="F503" s="6" t="s">
        <v>25</v>
      </c>
      <c r="G503" s="143">
        <v>150000</v>
      </c>
      <c r="H503" s="121" t="s">
        <v>663</v>
      </c>
      <c r="I503" s="162"/>
      <c r="J503" s="162"/>
      <c r="K503" s="162"/>
      <c r="L503" s="162"/>
      <c r="M503" s="162"/>
      <c r="N503" s="162"/>
      <c r="O503" s="122" t="s">
        <v>664</v>
      </c>
      <c r="P503" s="22"/>
      <c r="Q503" s="83">
        <f t="shared" si="7"/>
        <v>2021</v>
      </c>
      <c r="R503" s="106"/>
    </row>
    <row r="504" spans="1:18" ht="14.5" customHeight="1" x14ac:dyDescent="0.35">
      <c r="A504" s="123" t="s">
        <v>216</v>
      </c>
      <c r="B504" s="88" t="s">
        <v>426</v>
      </c>
      <c r="C504" s="121" t="s">
        <v>37</v>
      </c>
      <c r="D504" s="119">
        <v>1</v>
      </c>
      <c r="E504" s="120" t="s">
        <v>684</v>
      </c>
      <c r="F504" s="6" t="s">
        <v>44</v>
      </c>
      <c r="G504" s="143">
        <v>1057200</v>
      </c>
      <c r="H504" s="121" t="s">
        <v>1071</v>
      </c>
      <c r="I504" s="122" t="s">
        <v>27</v>
      </c>
      <c r="J504" s="122" t="s">
        <v>27</v>
      </c>
      <c r="K504" s="122" t="s">
        <v>27</v>
      </c>
      <c r="L504" s="6" t="s">
        <v>28</v>
      </c>
      <c r="M504" s="122"/>
      <c r="N504" s="122"/>
      <c r="O504" s="122" t="s">
        <v>756</v>
      </c>
      <c r="P504" s="116" t="s">
        <v>1277</v>
      </c>
      <c r="Q504" s="83">
        <f t="shared" si="7"/>
        <v>2025</v>
      </c>
      <c r="R504" s="125">
        <v>45944</v>
      </c>
    </row>
    <row r="505" spans="1:18" ht="14.5" hidden="1" x14ac:dyDescent="0.35">
      <c r="A505" s="123" t="s">
        <v>175</v>
      </c>
      <c r="B505" s="124" t="s">
        <v>1272</v>
      </c>
      <c r="C505" s="121" t="s">
        <v>48</v>
      </c>
      <c r="D505" s="119" t="s">
        <v>667</v>
      </c>
      <c r="E505" s="132" t="s">
        <v>1273</v>
      </c>
      <c r="F505" s="6" t="s">
        <v>25</v>
      </c>
      <c r="G505" s="143">
        <v>445750</v>
      </c>
      <c r="H505" s="121" t="s">
        <v>663</v>
      </c>
      <c r="I505" s="162"/>
      <c r="J505" s="162"/>
      <c r="K505" s="162"/>
      <c r="L505" s="162"/>
      <c r="M505" s="162"/>
      <c r="N505" s="162"/>
      <c r="O505" s="122" t="s">
        <v>664</v>
      </c>
      <c r="P505" s="22"/>
      <c r="Q505" s="83">
        <f t="shared" si="7"/>
        <v>2025</v>
      </c>
      <c r="R505" s="106"/>
    </row>
    <row r="506" spans="1:18" ht="14.5" hidden="1" customHeight="1" x14ac:dyDescent="0.35">
      <c r="A506" s="123" t="s">
        <v>315</v>
      </c>
      <c r="B506" s="124" t="s">
        <v>316</v>
      </c>
      <c r="C506" s="121" t="s">
        <v>48</v>
      </c>
      <c r="D506" s="119">
        <v>5</v>
      </c>
      <c r="E506" s="120" t="s">
        <v>1104</v>
      </c>
      <c r="F506" s="6" t="s">
        <v>25</v>
      </c>
      <c r="G506" s="143">
        <v>284928</v>
      </c>
      <c r="H506" s="121" t="s">
        <v>663</v>
      </c>
      <c r="I506" s="162"/>
      <c r="J506" s="162"/>
      <c r="K506" s="162"/>
      <c r="L506" s="162"/>
      <c r="M506" s="162"/>
      <c r="N506" s="162"/>
      <c r="O506" s="122" t="s">
        <v>664</v>
      </c>
      <c r="P506" s="22"/>
      <c r="Q506" s="83">
        <f t="shared" si="7"/>
        <v>2024</v>
      </c>
      <c r="R506" s="106"/>
    </row>
    <row r="507" spans="1:18" ht="14.5" hidden="1" customHeight="1" x14ac:dyDescent="0.35">
      <c r="A507" s="123" t="s">
        <v>362</v>
      </c>
      <c r="B507" s="124" t="s">
        <v>1278</v>
      </c>
      <c r="C507" s="121" t="s">
        <v>48</v>
      </c>
      <c r="D507" s="119">
        <v>2</v>
      </c>
      <c r="E507" s="120" t="s">
        <v>1279</v>
      </c>
      <c r="F507" s="6" t="s">
        <v>25</v>
      </c>
      <c r="G507" s="143">
        <v>360105</v>
      </c>
      <c r="H507" s="121" t="s">
        <v>726</v>
      </c>
      <c r="I507" s="122" t="s">
        <v>27</v>
      </c>
      <c r="J507" s="122" t="s">
        <v>27</v>
      </c>
      <c r="K507" s="122" t="s">
        <v>27</v>
      </c>
      <c r="L507" s="122" t="s">
        <v>27</v>
      </c>
      <c r="M507" s="122" t="s">
        <v>27</v>
      </c>
      <c r="N507" s="122" t="s">
        <v>27</v>
      </c>
      <c r="O507" s="122" t="s">
        <v>745</v>
      </c>
      <c r="P507" s="22"/>
      <c r="Q507" s="83">
        <f t="shared" si="7"/>
        <v>2024</v>
      </c>
      <c r="R507" s="106"/>
    </row>
    <row r="508" spans="1:18" ht="14.5" hidden="1" x14ac:dyDescent="0.35">
      <c r="A508" s="123" t="s">
        <v>362</v>
      </c>
      <c r="B508" s="124" t="s">
        <v>1278</v>
      </c>
      <c r="C508" s="121" t="s">
        <v>48</v>
      </c>
      <c r="D508" s="119">
        <v>3</v>
      </c>
      <c r="E508" s="120" t="s">
        <v>1280</v>
      </c>
      <c r="F508" s="6" t="s">
        <v>25</v>
      </c>
      <c r="G508" s="143">
        <v>157870</v>
      </c>
      <c r="H508" s="121" t="s">
        <v>726</v>
      </c>
      <c r="I508" s="122" t="s">
        <v>27</v>
      </c>
      <c r="J508" s="122" t="s">
        <v>27</v>
      </c>
      <c r="K508" s="122" t="s">
        <v>27</v>
      </c>
      <c r="L508" s="122" t="s">
        <v>27</v>
      </c>
      <c r="M508" s="122" t="s">
        <v>27</v>
      </c>
      <c r="N508" s="122" t="s">
        <v>27</v>
      </c>
      <c r="O508" s="122" t="s">
        <v>745</v>
      </c>
      <c r="P508" s="22"/>
      <c r="Q508" s="83">
        <f t="shared" si="7"/>
        <v>2024</v>
      </c>
      <c r="R508" s="106"/>
    </row>
    <row r="509" spans="1:18" ht="14.5" hidden="1" customHeight="1" x14ac:dyDescent="0.35">
      <c r="A509" s="118" t="s">
        <v>854</v>
      </c>
      <c r="B509" s="88" t="s">
        <v>855</v>
      </c>
      <c r="C509" s="119" t="s">
        <v>82</v>
      </c>
      <c r="D509" s="119">
        <v>11</v>
      </c>
      <c r="E509" s="120" t="s">
        <v>1281</v>
      </c>
      <c r="F509" s="6" t="s">
        <v>44</v>
      </c>
      <c r="G509" s="143">
        <v>128500</v>
      </c>
      <c r="H509" s="121" t="s">
        <v>663</v>
      </c>
      <c r="I509" s="162"/>
      <c r="J509" s="162"/>
      <c r="K509" s="162"/>
      <c r="L509" s="162"/>
      <c r="M509" s="162"/>
      <c r="N509" s="162"/>
      <c r="O509" s="122" t="s">
        <v>664</v>
      </c>
      <c r="P509" s="22"/>
      <c r="Q509" s="83">
        <f t="shared" si="7"/>
        <v>2021</v>
      </c>
      <c r="R509" s="106"/>
    </row>
    <row r="510" spans="1:18" ht="14.5" hidden="1" x14ac:dyDescent="0.35">
      <c r="A510" s="123" t="s">
        <v>362</v>
      </c>
      <c r="B510" s="124" t="s">
        <v>1278</v>
      </c>
      <c r="C510" s="121" t="s">
        <v>48</v>
      </c>
      <c r="D510" s="119">
        <v>4</v>
      </c>
      <c r="E510" s="120" t="s">
        <v>1282</v>
      </c>
      <c r="F510" s="6" t="s">
        <v>25</v>
      </c>
      <c r="G510" s="143">
        <v>660000</v>
      </c>
      <c r="H510" s="121" t="s">
        <v>726</v>
      </c>
      <c r="I510" s="122" t="s">
        <v>27</v>
      </c>
      <c r="J510" s="122" t="s">
        <v>27</v>
      </c>
      <c r="K510" s="122" t="s">
        <v>27</v>
      </c>
      <c r="L510" s="122" t="s">
        <v>27</v>
      </c>
      <c r="M510" s="122" t="s">
        <v>27</v>
      </c>
      <c r="N510" s="122" t="s">
        <v>27</v>
      </c>
      <c r="O510" s="122" t="s">
        <v>745</v>
      </c>
      <c r="P510" s="22"/>
      <c r="Q510" s="83">
        <f t="shared" si="7"/>
        <v>2024</v>
      </c>
      <c r="R510" s="106"/>
    </row>
    <row r="511" spans="1:18" ht="14.5" hidden="1" customHeight="1" x14ac:dyDescent="0.35">
      <c r="A511" s="118" t="s">
        <v>1200</v>
      </c>
      <c r="B511" s="88" t="s">
        <v>1201</v>
      </c>
      <c r="C511" s="119" t="s">
        <v>82</v>
      </c>
      <c r="D511" s="119">
        <v>2</v>
      </c>
      <c r="E511" s="120" t="s">
        <v>1283</v>
      </c>
      <c r="F511" s="6" t="s">
        <v>44</v>
      </c>
      <c r="G511" s="143">
        <v>210000</v>
      </c>
      <c r="H511" s="119" t="s">
        <v>749</v>
      </c>
      <c r="I511" s="162"/>
      <c r="J511" s="162"/>
      <c r="K511" s="162"/>
      <c r="L511" s="162"/>
      <c r="M511" s="162"/>
      <c r="N511" s="162"/>
      <c r="O511" s="122" t="s">
        <v>664</v>
      </c>
      <c r="P511" s="22"/>
      <c r="Q511" s="83">
        <f t="shared" si="7"/>
        <v>2024</v>
      </c>
      <c r="R511" s="106"/>
    </row>
    <row r="512" spans="1:18" ht="14.5" hidden="1" x14ac:dyDescent="0.35">
      <c r="A512" s="123" t="s">
        <v>1007</v>
      </c>
      <c r="B512" s="124" t="s">
        <v>1010</v>
      </c>
      <c r="C512" s="121" t="s">
        <v>48</v>
      </c>
      <c r="D512" s="119" t="s">
        <v>1284</v>
      </c>
      <c r="E512" s="120" t="s">
        <v>1285</v>
      </c>
      <c r="F512" s="20" t="s">
        <v>25</v>
      </c>
      <c r="G512" s="143">
        <v>150000</v>
      </c>
      <c r="H512" s="121" t="s">
        <v>663</v>
      </c>
      <c r="I512" s="162"/>
      <c r="J512" s="162"/>
      <c r="K512" s="162"/>
      <c r="L512" s="162"/>
      <c r="M512" s="162"/>
      <c r="N512" s="162"/>
      <c r="O512" s="122" t="s">
        <v>664</v>
      </c>
      <c r="P512" s="22"/>
      <c r="Q512" s="83">
        <f t="shared" si="7"/>
        <v>2022</v>
      </c>
      <c r="R512" s="106"/>
    </row>
    <row r="513" spans="1:18" ht="14.5" hidden="1" x14ac:dyDescent="0.35">
      <c r="A513" s="123" t="s">
        <v>1114</v>
      </c>
      <c r="B513" s="88" t="s">
        <v>426</v>
      </c>
      <c r="C513" s="121" t="s">
        <v>37</v>
      </c>
      <c r="D513" s="119" t="s">
        <v>1286</v>
      </c>
      <c r="E513" s="120" t="s">
        <v>1138</v>
      </c>
      <c r="F513" s="6" t="s">
        <v>25</v>
      </c>
      <c r="G513" s="143">
        <v>200790</v>
      </c>
      <c r="H513" s="121" t="s">
        <v>663</v>
      </c>
      <c r="I513" s="162"/>
      <c r="J513" s="162"/>
      <c r="K513" s="162"/>
      <c r="L513" s="162"/>
      <c r="M513" s="162"/>
      <c r="N513" s="162"/>
      <c r="O513" s="122" t="s">
        <v>664</v>
      </c>
      <c r="P513" s="116"/>
      <c r="Q513" s="83">
        <f t="shared" si="7"/>
        <v>2023</v>
      </c>
      <c r="R513" s="106"/>
    </row>
    <row r="514" spans="1:18" ht="14.5" hidden="1" customHeight="1" x14ac:dyDescent="0.35">
      <c r="A514" s="123" t="s">
        <v>315</v>
      </c>
      <c r="B514" s="124" t="s">
        <v>316</v>
      </c>
      <c r="C514" s="121" t="s">
        <v>48</v>
      </c>
      <c r="D514" s="119" t="s">
        <v>732</v>
      </c>
      <c r="E514" s="120" t="s">
        <v>1104</v>
      </c>
      <c r="F514" s="6" t="s">
        <v>25</v>
      </c>
      <c r="G514" s="143">
        <v>237642</v>
      </c>
      <c r="H514" s="121" t="s">
        <v>726</v>
      </c>
      <c r="I514" s="122" t="s">
        <v>27</v>
      </c>
      <c r="J514" s="122" t="s">
        <v>27</v>
      </c>
      <c r="K514" s="122" t="s">
        <v>27</v>
      </c>
      <c r="L514" s="122" t="s">
        <v>27</v>
      </c>
      <c r="M514" s="122" t="s">
        <v>27</v>
      </c>
      <c r="N514" s="122" t="s">
        <v>27</v>
      </c>
      <c r="O514" s="122" t="s">
        <v>745</v>
      </c>
      <c r="P514" s="22"/>
      <c r="Q514" s="83">
        <f t="shared" si="7"/>
        <v>2024</v>
      </c>
      <c r="R514" s="106"/>
    </row>
    <row r="515" spans="1:18" ht="14.5" hidden="1" customHeight="1" x14ac:dyDescent="0.35">
      <c r="A515" s="118" t="s">
        <v>750</v>
      </c>
      <c r="B515" s="88" t="s">
        <v>751</v>
      </c>
      <c r="C515" s="119" t="s">
        <v>23</v>
      </c>
      <c r="D515" s="121">
        <v>8</v>
      </c>
      <c r="E515" s="120" t="s">
        <v>1287</v>
      </c>
      <c r="F515" s="6" t="s">
        <v>25</v>
      </c>
      <c r="G515" s="143">
        <v>1375000</v>
      </c>
      <c r="H515" s="119" t="s">
        <v>709</v>
      </c>
      <c r="I515" s="163" t="s">
        <v>27</v>
      </c>
      <c r="J515" s="163" t="s">
        <v>27</v>
      </c>
      <c r="K515" s="163" t="s">
        <v>27</v>
      </c>
      <c r="L515" s="163" t="s">
        <v>27</v>
      </c>
      <c r="M515" s="163" t="s">
        <v>27</v>
      </c>
      <c r="N515" s="163" t="s">
        <v>27</v>
      </c>
      <c r="O515" s="122" t="s">
        <v>709</v>
      </c>
      <c r="P515" s="22" t="s">
        <v>710</v>
      </c>
      <c r="Q515" s="83">
        <f t="shared" ref="Q515:Q578" si="8">IFERROR(2000+VALUE(LEFT(A515,2)),"")</f>
        <v>2020</v>
      </c>
      <c r="R515" s="106"/>
    </row>
    <row r="516" spans="1:18" ht="14.5" hidden="1" customHeight="1" x14ac:dyDescent="0.35">
      <c r="A516" s="123" t="s">
        <v>1240</v>
      </c>
      <c r="B516" s="124" t="s">
        <v>340</v>
      </c>
      <c r="C516" s="121" t="s">
        <v>48</v>
      </c>
      <c r="D516" s="119">
        <v>2</v>
      </c>
      <c r="E516" s="120" t="s">
        <v>1288</v>
      </c>
      <c r="F516" s="6" t="s">
        <v>25</v>
      </c>
      <c r="G516" s="143">
        <v>110000</v>
      </c>
      <c r="H516" s="121" t="s">
        <v>726</v>
      </c>
      <c r="I516" s="163" t="s">
        <v>27</v>
      </c>
      <c r="J516" s="163" t="s">
        <v>27</v>
      </c>
      <c r="K516" s="163" t="s">
        <v>27</v>
      </c>
      <c r="L516" s="163" t="s">
        <v>27</v>
      </c>
      <c r="M516" s="163" t="s">
        <v>27</v>
      </c>
      <c r="N516" s="163" t="s">
        <v>27</v>
      </c>
      <c r="O516" s="122" t="s">
        <v>709</v>
      </c>
      <c r="P516" s="22" t="s">
        <v>1289</v>
      </c>
      <c r="Q516" s="83">
        <f t="shared" si="8"/>
        <v>2024</v>
      </c>
      <c r="R516" s="106"/>
    </row>
    <row r="517" spans="1:18" ht="14.5" hidden="1" customHeight="1" x14ac:dyDescent="0.35">
      <c r="A517" s="123" t="s">
        <v>175</v>
      </c>
      <c r="B517" s="124" t="s">
        <v>1272</v>
      </c>
      <c r="C517" s="121" t="s">
        <v>48</v>
      </c>
      <c r="D517" s="119" t="s">
        <v>892</v>
      </c>
      <c r="E517" s="132" t="s">
        <v>1273</v>
      </c>
      <c r="F517" s="6" t="s">
        <v>25</v>
      </c>
      <c r="G517" s="143">
        <v>536525</v>
      </c>
      <c r="H517" s="121" t="s">
        <v>663</v>
      </c>
      <c r="I517" s="162"/>
      <c r="J517" s="162"/>
      <c r="K517" s="162"/>
      <c r="L517" s="162"/>
      <c r="M517" s="162"/>
      <c r="N517" s="162"/>
      <c r="O517" s="122" t="s">
        <v>664</v>
      </c>
      <c r="P517" s="22"/>
      <c r="Q517" s="83">
        <f t="shared" si="8"/>
        <v>2025</v>
      </c>
      <c r="R517" s="106"/>
    </row>
    <row r="518" spans="1:18" ht="14.5" hidden="1" customHeight="1" x14ac:dyDescent="0.35">
      <c r="A518" s="118" t="s">
        <v>1177</v>
      </c>
      <c r="B518" s="88" t="s">
        <v>1178</v>
      </c>
      <c r="C518" s="119" t="s">
        <v>23</v>
      </c>
      <c r="D518" s="119">
        <v>3</v>
      </c>
      <c r="E518" s="132" t="s">
        <v>1290</v>
      </c>
      <c r="F518" s="6" t="s">
        <v>25</v>
      </c>
      <c r="G518" s="143">
        <v>56950</v>
      </c>
      <c r="H518" s="121" t="s">
        <v>663</v>
      </c>
      <c r="I518" s="162"/>
      <c r="J518" s="162"/>
      <c r="K518" s="162"/>
      <c r="L518" s="162"/>
      <c r="M518" s="162"/>
      <c r="N518" s="162"/>
      <c r="O518" s="122" t="s">
        <v>664</v>
      </c>
      <c r="P518" s="22"/>
      <c r="Q518" s="83">
        <f t="shared" si="8"/>
        <v>2024</v>
      </c>
      <c r="R518" s="106"/>
    </row>
    <row r="519" spans="1:18" ht="14.5" hidden="1" customHeight="1" x14ac:dyDescent="0.35">
      <c r="A519" s="118" t="s">
        <v>1177</v>
      </c>
      <c r="B519" s="88" t="s">
        <v>1178</v>
      </c>
      <c r="C519" s="119" t="s">
        <v>23</v>
      </c>
      <c r="D519" s="119" t="s">
        <v>1291</v>
      </c>
      <c r="E519" s="120" t="s">
        <v>1292</v>
      </c>
      <c r="F519" s="6" t="s">
        <v>25</v>
      </c>
      <c r="G519" s="143">
        <v>4460000</v>
      </c>
      <c r="H519" s="121" t="s">
        <v>663</v>
      </c>
      <c r="I519" s="162"/>
      <c r="J519" s="162"/>
      <c r="K519" s="162"/>
      <c r="L519" s="162"/>
      <c r="M519" s="162"/>
      <c r="N519" s="162"/>
      <c r="O519" s="122" t="s">
        <v>664</v>
      </c>
      <c r="P519" s="22"/>
      <c r="Q519" s="83">
        <f t="shared" si="8"/>
        <v>2024</v>
      </c>
      <c r="R519" s="106"/>
    </row>
    <row r="520" spans="1:18" ht="14.5" hidden="1" x14ac:dyDescent="0.35">
      <c r="A520" s="118" t="s">
        <v>1293</v>
      </c>
      <c r="B520" s="88" t="s">
        <v>110</v>
      </c>
      <c r="C520" s="119" t="s">
        <v>23</v>
      </c>
      <c r="D520" s="121">
        <v>2</v>
      </c>
      <c r="E520" s="120" t="s">
        <v>1259</v>
      </c>
      <c r="F520" s="6" t="s">
        <v>25</v>
      </c>
      <c r="G520" s="143">
        <v>25000</v>
      </c>
      <c r="H520" s="119" t="s">
        <v>709</v>
      </c>
      <c r="I520" s="163" t="s">
        <v>27</v>
      </c>
      <c r="J520" s="163" t="s">
        <v>27</v>
      </c>
      <c r="K520" s="163" t="s">
        <v>27</v>
      </c>
      <c r="L520" s="163" t="s">
        <v>27</v>
      </c>
      <c r="M520" s="163" t="s">
        <v>27</v>
      </c>
      <c r="N520" s="163" t="s">
        <v>27</v>
      </c>
      <c r="O520" s="122" t="s">
        <v>709</v>
      </c>
      <c r="P520" s="22"/>
      <c r="Q520" s="83">
        <f t="shared" si="8"/>
        <v>2025</v>
      </c>
      <c r="R520" s="106"/>
    </row>
    <row r="521" spans="1:18" ht="14.5" hidden="1" customHeight="1" x14ac:dyDescent="0.35">
      <c r="A521" s="118" t="s">
        <v>1177</v>
      </c>
      <c r="B521" s="88" t="s">
        <v>1178</v>
      </c>
      <c r="C521" s="119" t="s">
        <v>23</v>
      </c>
      <c r="D521" s="121" t="s">
        <v>1294</v>
      </c>
      <c r="E521" s="120" t="s">
        <v>1295</v>
      </c>
      <c r="F521" s="6" t="s">
        <v>25</v>
      </c>
      <c r="G521" s="143">
        <v>346632</v>
      </c>
      <c r="H521" s="119" t="s">
        <v>709</v>
      </c>
      <c r="I521" s="163" t="s">
        <v>27</v>
      </c>
      <c r="J521" s="163" t="s">
        <v>27</v>
      </c>
      <c r="K521" s="163" t="s">
        <v>27</v>
      </c>
      <c r="L521" s="163" t="s">
        <v>27</v>
      </c>
      <c r="M521" s="163" t="s">
        <v>27</v>
      </c>
      <c r="N521" s="163" t="s">
        <v>27</v>
      </c>
      <c r="O521" s="122" t="s">
        <v>709</v>
      </c>
      <c r="P521" s="22" t="s">
        <v>710</v>
      </c>
      <c r="Q521" s="83">
        <f t="shared" si="8"/>
        <v>2024</v>
      </c>
      <c r="R521" s="106"/>
    </row>
    <row r="522" spans="1:18" ht="14.5" hidden="1" customHeight="1" x14ac:dyDescent="0.35">
      <c r="A522" s="123" t="s">
        <v>1114</v>
      </c>
      <c r="B522" s="88" t="s">
        <v>426</v>
      </c>
      <c r="C522" s="121" t="s">
        <v>37</v>
      </c>
      <c r="D522" s="119">
        <v>7</v>
      </c>
      <c r="E522" s="120" t="s">
        <v>1296</v>
      </c>
      <c r="F522" s="6" t="s">
        <v>25</v>
      </c>
      <c r="G522" s="143">
        <v>159820</v>
      </c>
      <c r="H522" s="121" t="s">
        <v>663</v>
      </c>
      <c r="I522" s="162"/>
      <c r="J522" s="162"/>
      <c r="K522" s="162"/>
      <c r="L522" s="162"/>
      <c r="M522" s="162"/>
      <c r="N522" s="162"/>
      <c r="O522" s="122" t="s">
        <v>664</v>
      </c>
      <c r="P522" s="22"/>
      <c r="Q522" s="83">
        <f t="shared" si="8"/>
        <v>2023</v>
      </c>
      <c r="R522" s="106"/>
    </row>
    <row r="523" spans="1:18" ht="14.5" hidden="1" customHeight="1" x14ac:dyDescent="0.35">
      <c r="A523" s="123" t="s">
        <v>1114</v>
      </c>
      <c r="B523" s="124" t="s">
        <v>1115</v>
      </c>
      <c r="C523" s="121" t="s">
        <v>37</v>
      </c>
      <c r="D523" s="119">
        <v>0</v>
      </c>
      <c r="E523" s="120" t="s">
        <v>1297</v>
      </c>
      <c r="F523" s="6" t="s">
        <v>25</v>
      </c>
      <c r="G523" s="143">
        <v>205675</v>
      </c>
      <c r="H523" s="121" t="s">
        <v>749</v>
      </c>
      <c r="I523" s="162"/>
      <c r="J523" s="162"/>
      <c r="K523" s="162"/>
      <c r="L523" s="162"/>
      <c r="M523" s="162"/>
      <c r="N523" s="162"/>
      <c r="O523" s="122" t="s">
        <v>664</v>
      </c>
      <c r="P523" s="116"/>
      <c r="Q523" s="83">
        <f t="shared" si="8"/>
        <v>2023</v>
      </c>
      <c r="R523" s="106"/>
    </row>
    <row r="524" spans="1:18" ht="14.5" hidden="1" customHeight="1" x14ac:dyDescent="0.35">
      <c r="A524" s="118" t="s">
        <v>854</v>
      </c>
      <c r="B524" s="88" t="s">
        <v>855</v>
      </c>
      <c r="C524" s="119" t="s">
        <v>82</v>
      </c>
      <c r="D524" s="119" t="s">
        <v>1298</v>
      </c>
      <c r="E524" s="120" t="s">
        <v>1299</v>
      </c>
      <c r="F524" s="6" t="s">
        <v>44</v>
      </c>
      <c r="G524" s="143">
        <v>128500</v>
      </c>
      <c r="H524" s="121" t="s">
        <v>663</v>
      </c>
      <c r="I524" s="162"/>
      <c r="J524" s="162"/>
      <c r="K524" s="162"/>
      <c r="L524" s="162"/>
      <c r="M524" s="162"/>
      <c r="N524" s="162"/>
      <c r="O524" s="122" t="s">
        <v>664</v>
      </c>
      <c r="P524" s="22"/>
      <c r="Q524" s="83">
        <f t="shared" si="8"/>
        <v>2021</v>
      </c>
      <c r="R524" s="106"/>
    </row>
    <row r="525" spans="1:18" ht="14.5" hidden="1" customHeight="1" x14ac:dyDescent="0.35">
      <c r="A525" s="123" t="s">
        <v>1007</v>
      </c>
      <c r="B525" s="124" t="s">
        <v>1010</v>
      </c>
      <c r="C525" s="121" t="s">
        <v>48</v>
      </c>
      <c r="D525" s="119" t="s">
        <v>1300</v>
      </c>
      <c r="E525" s="120" t="s">
        <v>1285</v>
      </c>
      <c r="F525" s="20" t="s">
        <v>25</v>
      </c>
      <c r="G525" s="143">
        <v>126000</v>
      </c>
      <c r="H525" s="121" t="s">
        <v>663</v>
      </c>
      <c r="I525" s="162"/>
      <c r="J525" s="162"/>
      <c r="K525" s="162"/>
      <c r="L525" s="162"/>
      <c r="M525" s="162"/>
      <c r="N525" s="162"/>
      <c r="O525" s="122" t="s">
        <v>664</v>
      </c>
      <c r="P525" s="22"/>
      <c r="Q525" s="83">
        <f t="shared" si="8"/>
        <v>2022</v>
      </c>
      <c r="R525" s="106"/>
    </row>
    <row r="526" spans="1:18" ht="14.5" hidden="1" customHeight="1" x14ac:dyDescent="0.35">
      <c r="A526" s="123" t="s">
        <v>382</v>
      </c>
      <c r="B526" s="124" t="s">
        <v>383</v>
      </c>
      <c r="C526" s="119" t="s">
        <v>61</v>
      </c>
      <c r="D526" s="121" t="s">
        <v>667</v>
      </c>
      <c r="E526" s="120" t="s">
        <v>1168</v>
      </c>
      <c r="F526" s="6" t="s">
        <v>25</v>
      </c>
      <c r="G526" s="143">
        <v>123125</v>
      </c>
      <c r="H526" s="119" t="s">
        <v>709</v>
      </c>
      <c r="I526" s="163" t="s">
        <v>27</v>
      </c>
      <c r="J526" s="163" t="s">
        <v>27</v>
      </c>
      <c r="K526" s="163" t="s">
        <v>27</v>
      </c>
      <c r="L526" s="163" t="s">
        <v>27</v>
      </c>
      <c r="M526" s="163" t="s">
        <v>27</v>
      </c>
      <c r="N526" s="163" t="s">
        <v>27</v>
      </c>
      <c r="O526" s="122" t="s">
        <v>709</v>
      </c>
      <c r="P526" s="22"/>
      <c r="Q526" s="83">
        <f t="shared" si="8"/>
        <v>2024</v>
      </c>
      <c r="R526" s="106"/>
    </row>
    <row r="527" spans="1:18" ht="14.5" hidden="1" customHeight="1" x14ac:dyDescent="0.35">
      <c r="A527" s="123" t="s">
        <v>382</v>
      </c>
      <c r="B527" s="124" t="s">
        <v>1301</v>
      </c>
      <c r="C527" s="119" t="s">
        <v>61</v>
      </c>
      <c r="D527" s="121">
        <v>2</v>
      </c>
      <c r="E527" s="120" t="s">
        <v>1302</v>
      </c>
      <c r="F527" s="6" t="s">
        <v>25</v>
      </c>
      <c r="G527" s="143">
        <v>550000</v>
      </c>
      <c r="H527" s="119" t="s">
        <v>709</v>
      </c>
      <c r="I527" s="122" t="s">
        <v>27</v>
      </c>
      <c r="J527" s="122" t="s">
        <v>27</v>
      </c>
      <c r="K527" s="122" t="s">
        <v>27</v>
      </c>
      <c r="L527" s="122" t="s">
        <v>27</v>
      </c>
      <c r="M527" s="122" t="s">
        <v>27</v>
      </c>
      <c r="N527" s="122" t="s">
        <v>27</v>
      </c>
      <c r="O527" s="122" t="s">
        <v>745</v>
      </c>
      <c r="P527" s="22"/>
      <c r="Q527" s="83">
        <f t="shared" si="8"/>
        <v>2024</v>
      </c>
      <c r="R527" s="106"/>
    </row>
    <row r="528" spans="1:18" ht="14.5" x14ac:dyDescent="0.35">
      <c r="A528" s="123" t="s">
        <v>175</v>
      </c>
      <c r="B528" s="124" t="s">
        <v>1272</v>
      </c>
      <c r="C528" s="121" t="s">
        <v>48</v>
      </c>
      <c r="D528" s="119">
        <v>2</v>
      </c>
      <c r="E528" s="120" t="s">
        <v>1303</v>
      </c>
      <c r="F528" s="6" t="s">
        <v>25</v>
      </c>
      <c r="G528" s="143">
        <v>75900</v>
      </c>
      <c r="H528" s="121" t="s">
        <v>726</v>
      </c>
      <c r="I528" s="122" t="s">
        <v>27</v>
      </c>
      <c r="J528" s="122" t="s">
        <v>27</v>
      </c>
      <c r="K528" s="122" t="s">
        <v>27</v>
      </c>
      <c r="L528" s="122" t="s">
        <v>27</v>
      </c>
      <c r="M528" s="122" t="s">
        <v>27</v>
      </c>
      <c r="N528" s="6" t="s">
        <v>28</v>
      </c>
      <c r="O528" s="122" t="s">
        <v>756</v>
      </c>
      <c r="P528" s="22" t="s">
        <v>774</v>
      </c>
      <c r="Q528" s="83">
        <f t="shared" si="8"/>
        <v>2025</v>
      </c>
      <c r="R528" s="125">
        <v>46063</v>
      </c>
    </row>
    <row r="529" spans="1:18" ht="14.5" x14ac:dyDescent="0.35">
      <c r="A529" s="123" t="s">
        <v>1114</v>
      </c>
      <c r="B529" s="88" t="s">
        <v>426</v>
      </c>
      <c r="C529" s="121" t="s">
        <v>37</v>
      </c>
      <c r="D529" s="119">
        <v>8</v>
      </c>
      <c r="E529" s="120" t="s">
        <v>1304</v>
      </c>
      <c r="F529" s="6" t="s">
        <v>25</v>
      </c>
      <c r="G529" s="143">
        <v>150000</v>
      </c>
      <c r="H529" s="121" t="s">
        <v>781</v>
      </c>
      <c r="I529" s="122" t="s">
        <v>27</v>
      </c>
      <c r="J529" s="122" t="s">
        <v>27</v>
      </c>
      <c r="K529" s="122" t="s">
        <v>27</v>
      </c>
      <c r="L529" s="6" t="s">
        <v>28</v>
      </c>
      <c r="M529" s="122"/>
      <c r="N529" s="122"/>
      <c r="O529" s="122" t="s">
        <v>756</v>
      </c>
      <c r="P529" s="164" t="s">
        <v>1158</v>
      </c>
      <c r="Q529" s="83">
        <f t="shared" si="8"/>
        <v>2023</v>
      </c>
      <c r="R529" s="125">
        <v>46045</v>
      </c>
    </row>
    <row r="530" spans="1:18" ht="14.5" x14ac:dyDescent="0.35">
      <c r="A530" s="123" t="s">
        <v>1305</v>
      </c>
      <c r="B530" s="88" t="s">
        <v>331</v>
      </c>
      <c r="C530" s="119" t="s">
        <v>61</v>
      </c>
      <c r="D530" s="121">
        <v>1</v>
      </c>
      <c r="E530" s="131" t="s">
        <v>1306</v>
      </c>
      <c r="F530" s="90" t="s">
        <v>25</v>
      </c>
      <c r="G530" s="143">
        <v>550000</v>
      </c>
      <c r="H530" s="119" t="s">
        <v>730</v>
      </c>
      <c r="I530" s="6" t="s">
        <v>28</v>
      </c>
      <c r="J530" s="122"/>
      <c r="K530" s="122"/>
      <c r="L530" s="122"/>
      <c r="M530" s="122"/>
      <c r="N530" s="122"/>
      <c r="O530" s="122" t="s">
        <v>756</v>
      </c>
      <c r="P530" s="134" t="s">
        <v>1307</v>
      </c>
      <c r="Q530" s="83">
        <f t="shared" si="8"/>
        <v>2024</v>
      </c>
      <c r="R530" s="127">
        <v>46185</v>
      </c>
    </row>
    <row r="531" spans="1:18" ht="14.5" hidden="1" x14ac:dyDescent="0.35">
      <c r="A531" s="123" t="s">
        <v>175</v>
      </c>
      <c r="B531" s="124" t="s">
        <v>1272</v>
      </c>
      <c r="C531" s="121" t="s">
        <v>48</v>
      </c>
      <c r="D531" s="119" t="s">
        <v>1308</v>
      </c>
      <c r="E531" s="132" t="s">
        <v>1273</v>
      </c>
      <c r="F531" s="6" t="s">
        <v>25</v>
      </c>
      <c r="G531" s="143">
        <v>487025</v>
      </c>
      <c r="H531" s="121" t="s">
        <v>663</v>
      </c>
      <c r="I531" s="162"/>
      <c r="J531" s="162"/>
      <c r="K531" s="162"/>
      <c r="L531" s="162"/>
      <c r="M531" s="162"/>
      <c r="N531" s="162"/>
      <c r="O531" s="122" t="s">
        <v>664</v>
      </c>
      <c r="P531" s="22"/>
      <c r="Q531" s="83">
        <f t="shared" si="8"/>
        <v>2025</v>
      </c>
      <c r="R531" s="106"/>
    </row>
    <row r="532" spans="1:18" ht="14.5" hidden="1" x14ac:dyDescent="0.35">
      <c r="A532" s="123" t="s">
        <v>1309</v>
      </c>
      <c r="B532" s="124" t="s">
        <v>1310</v>
      </c>
      <c r="C532" s="121" t="s">
        <v>116</v>
      </c>
      <c r="D532" s="119">
        <v>3</v>
      </c>
      <c r="E532" s="120" t="s">
        <v>662</v>
      </c>
      <c r="F532" s="6" t="s">
        <v>25</v>
      </c>
      <c r="G532" s="143">
        <v>7200</v>
      </c>
      <c r="H532" s="121" t="s">
        <v>749</v>
      </c>
      <c r="I532" s="162"/>
      <c r="J532" s="162"/>
      <c r="K532" s="162"/>
      <c r="L532" s="162"/>
      <c r="M532" s="162"/>
      <c r="N532" s="162"/>
      <c r="O532" s="122" t="s">
        <v>664</v>
      </c>
      <c r="P532" s="22"/>
      <c r="Q532" s="83">
        <f t="shared" si="8"/>
        <v>2024</v>
      </c>
      <c r="R532" s="106"/>
    </row>
    <row r="533" spans="1:18" ht="14.5" hidden="1" customHeight="1" x14ac:dyDescent="0.35">
      <c r="A533" s="118" t="s">
        <v>854</v>
      </c>
      <c r="B533" s="88" t="s">
        <v>855</v>
      </c>
      <c r="C533" s="119" t="s">
        <v>82</v>
      </c>
      <c r="D533" s="119">
        <v>12</v>
      </c>
      <c r="E533" s="120" t="s">
        <v>1311</v>
      </c>
      <c r="F533" s="6" t="s">
        <v>44</v>
      </c>
      <c r="G533" s="143">
        <v>128500</v>
      </c>
      <c r="H533" s="121" t="s">
        <v>663</v>
      </c>
      <c r="I533" s="162"/>
      <c r="J533" s="162"/>
      <c r="K533" s="162"/>
      <c r="L533" s="162"/>
      <c r="M533" s="162"/>
      <c r="N533" s="162"/>
      <c r="O533" s="122" t="s">
        <v>664</v>
      </c>
      <c r="P533" s="22"/>
      <c r="Q533" s="83">
        <f t="shared" si="8"/>
        <v>2021</v>
      </c>
      <c r="R533" s="106"/>
    </row>
    <row r="534" spans="1:18" ht="14.5" hidden="1" customHeight="1" x14ac:dyDescent="0.35">
      <c r="A534" s="123" t="s">
        <v>175</v>
      </c>
      <c r="B534" s="124" t="s">
        <v>1272</v>
      </c>
      <c r="C534" s="121" t="s">
        <v>48</v>
      </c>
      <c r="D534" s="119" t="s">
        <v>1312</v>
      </c>
      <c r="E534" s="132" t="s">
        <v>1273</v>
      </c>
      <c r="F534" s="6" t="s">
        <v>25</v>
      </c>
      <c r="G534" s="143">
        <v>440825</v>
      </c>
      <c r="H534" s="121" t="s">
        <v>663</v>
      </c>
      <c r="I534" s="162"/>
      <c r="J534" s="162"/>
      <c r="K534" s="162"/>
      <c r="L534" s="162"/>
      <c r="M534" s="162"/>
      <c r="N534" s="162"/>
      <c r="O534" s="122" t="s">
        <v>664</v>
      </c>
      <c r="P534" s="22"/>
      <c r="Q534" s="83">
        <f t="shared" si="8"/>
        <v>2025</v>
      </c>
      <c r="R534" s="106"/>
    </row>
    <row r="535" spans="1:18" ht="14.5" hidden="1" x14ac:dyDescent="0.35">
      <c r="A535" s="123" t="s">
        <v>1114</v>
      </c>
      <c r="B535" s="88" t="s">
        <v>426</v>
      </c>
      <c r="C535" s="121" t="s">
        <v>37</v>
      </c>
      <c r="D535" s="119">
        <v>9</v>
      </c>
      <c r="E535" s="120" t="s">
        <v>1313</v>
      </c>
      <c r="F535" s="6" t="s">
        <v>25</v>
      </c>
      <c r="G535" s="143">
        <v>695000</v>
      </c>
      <c r="H535" s="121" t="s">
        <v>663</v>
      </c>
      <c r="I535" s="162"/>
      <c r="J535" s="162"/>
      <c r="K535" s="162"/>
      <c r="L535" s="162"/>
      <c r="M535" s="162"/>
      <c r="N535" s="162"/>
      <c r="O535" s="122" t="s">
        <v>664</v>
      </c>
      <c r="P535" s="22"/>
      <c r="Q535" s="83">
        <f t="shared" si="8"/>
        <v>2023</v>
      </c>
      <c r="R535" s="106"/>
    </row>
    <row r="536" spans="1:18" ht="14.5" hidden="1" customHeight="1" x14ac:dyDescent="0.35">
      <c r="A536" s="123" t="s">
        <v>175</v>
      </c>
      <c r="B536" s="124" t="s">
        <v>1272</v>
      </c>
      <c r="C536" s="121" t="s">
        <v>48</v>
      </c>
      <c r="D536" s="119" t="s">
        <v>1312</v>
      </c>
      <c r="E536" s="132" t="s">
        <v>1273</v>
      </c>
      <c r="F536" s="6" t="s">
        <v>25</v>
      </c>
      <c r="G536" s="143">
        <v>490325</v>
      </c>
      <c r="H536" s="121" t="s">
        <v>663</v>
      </c>
      <c r="I536" s="162"/>
      <c r="J536" s="162"/>
      <c r="K536" s="162"/>
      <c r="L536" s="162"/>
      <c r="M536" s="162"/>
      <c r="N536" s="162"/>
      <c r="O536" s="122" t="s">
        <v>664</v>
      </c>
      <c r="P536" s="22"/>
      <c r="Q536" s="83">
        <f t="shared" si="8"/>
        <v>2025</v>
      </c>
      <c r="R536" s="106"/>
    </row>
    <row r="537" spans="1:18" ht="14.5" hidden="1" customHeight="1" x14ac:dyDescent="0.35">
      <c r="A537" s="123" t="s">
        <v>1114</v>
      </c>
      <c r="B537" s="88" t="s">
        <v>426</v>
      </c>
      <c r="C537" s="121" t="s">
        <v>37</v>
      </c>
      <c r="D537" s="119" t="s">
        <v>1314</v>
      </c>
      <c r="E537" s="120" t="s">
        <v>1315</v>
      </c>
      <c r="F537" s="6" t="s">
        <v>25</v>
      </c>
      <c r="G537" s="143">
        <v>115600</v>
      </c>
      <c r="H537" s="121" t="s">
        <v>663</v>
      </c>
      <c r="I537" s="162"/>
      <c r="J537" s="162"/>
      <c r="K537" s="162"/>
      <c r="L537" s="162"/>
      <c r="M537" s="162"/>
      <c r="N537" s="162"/>
      <c r="O537" s="122" t="s">
        <v>664</v>
      </c>
      <c r="P537" s="22"/>
      <c r="Q537" s="83">
        <f t="shared" si="8"/>
        <v>2023</v>
      </c>
      <c r="R537" s="106"/>
    </row>
    <row r="538" spans="1:18" ht="14.5" customHeight="1" x14ac:dyDescent="0.35">
      <c r="A538" s="123" t="s">
        <v>175</v>
      </c>
      <c r="B538" s="124" t="s">
        <v>1272</v>
      </c>
      <c r="C538" s="121" t="s">
        <v>48</v>
      </c>
      <c r="D538" s="119" t="s">
        <v>1316</v>
      </c>
      <c r="E538" s="132" t="s">
        <v>1273</v>
      </c>
      <c r="F538" s="6" t="s">
        <v>25</v>
      </c>
      <c r="G538" s="143">
        <v>536525</v>
      </c>
      <c r="H538" s="121" t="s">
        <v>726</v>
      </c>
      <c r="I538" s="122" t="s">
        <v>27</v>
      </c>
      <c r="J538" s="122" t="s">
        <v>27</v>
      </c>
      <c r="K538" s="122" t="s">
        <v>27</v>
      </c>
      <c r="L538" s="122" t="s">
        <v>27</v>
      </c>
      <c r="M538" s="122" t="s">
        <v>27</v>
      </c>
      <c r="N538" s="6" t="s">
        <v>28</v>
      </c>
      <c r="O538" s="122" t="s">
        <v>756</v>
      </c>
      <c r="P538" s="22" t="s">
        <v>774</v>
      </c>
      <c r="Q538" s="83">
        <f t="shared" si="8"/>
        <v>2025</v>
      </c>
      <c r="R538" s="125">
        <v>46028</v>
      </c>
    </row>
    <row r="539" spans="1:18" ht="14.5" x14ac:dyDescent="0.35">
      <c r="A539" s="118" t="s">
        <v>1317</v>
      </c>
      <c r="B539" s="88" t="s">
        <v>110</v>
      </c>
      <c r="C539" s="119" t="s">
        <v>23</v>
      </c>
      <c r="D539" s="121">
        <v>1</v>
      </c>
      <c r="E539" s="131" t="s">
        <v>1318</v>
      </c>
      <c r="F539" s="6" t="s">
        <v>25</v>
      </c>
      <c r="G539" s="143">
        <v>77500</v>
      </c>
      <c r="H539" s="119" t="s">
        <v>781</v>
      </c>
      <c r="I539" s="6" t="s">
        <v>28</v>
      </c>
      <c r="J539" s="122"/>
      <c r="K539" s="122"/>
      <c r="L539" s="122"/>
      <c r="M539" s="122"/>
      <c r="N539" s="122"/>
      <c r="O539" s="122" t="s">
        <v>756</v>
      </c>
      <c r="P539" s="164" t="s">
        <v>1319</v>
      </c>
      <c r="Q539" s="83">
        <f t="shared" si="8"/>
        <v>2025</v>
      </c>
      <c r="R539" s="127">
        <v>46182</v>
      </c>
    </row>
    <row r="540" spans="1:18" ht="14.5" hidden="1" customHeight="1" x14ac:dyDescent="0.35">
      <c r="A540" s="123" t="s">
        <v>227</v>
      </c>
      <c r="B540" s="124" t="s">
        <v>1249</v>
      </c>
      <c r="C540" s="121" t="s">
        <v>100</v>
      </c>
      <c r="D540" s="119">
        <v>1</v>
      </c>
      <c r="E540" s="120" t="s">
        <v>1320</v>
      </c>
      <c r="F540" s="6" t="s">
        <v>77</v>
      </c>
      <c r="G540" s="143">
        <v>1427250</v>
      </c>
      <c r="H540" s="121" t="s">
        <v>1321</v>
      </c>
      <c r="I540" s="122" t="s">
        <v>27</v>
      </c>
      <c r="J540" s="122" t="s">
        <v>27</v>
      </c>
      <c r="K540" s="122" t="s">
        <v>27</v>
      </c>
      <c r="L540" s="6" t="s">
        <v>28</v>
      </c>
      <c r="M540" s="122"/>
      <c r="N540" s="122"/>
      <c r="O540" s="122" t="s">
        <v>756</v>
      </c>
      <c r="P540" s="22"/>
      <c r="Q540" s="83">
        <f t="shared" si="8"/>
        <v>2025</v>
      </c>
      <c r="R540" s="106"/>
    </row>
    <row r="541" spans="1:18" ht="14.5" hidden="1" customHeight="1" x14ac:dyDescent="0.4">
      <c r="A541" s="118" t="s">
        <v>1200</v>
      </c>
      <c r="B541" s="88" t="s">
        <v>1201</v>
      </c>
      <c r="C541" s="119" t="s">
        <v>82</v>
      </c>
      <c r="D541" s="119">
        <v>3</v>
      </c>
      <c r="E541" s="120" t="s">
        <v>1322</v>
      </c>
      <c r="F541" s="6" t="s">
        <v>44</v>
      </c>
      <c r="G541" s="143">
        <v>545040.18000000005</v>
      </c>
      <c r="H541" s="119" t="s">
        <v>749</v>
      </c>
      <c r="I541" s="162"/>
      <c r="J541" s="162"/>
      <c r="K541" s="162"/>
      <c r="L541" s="162"/>
      <c r="M541" s="162"/>
      <c r="N541" s="162"/>
      <c r="O541" s="122" t="s">
        <v>664</v>
      </c>
      <c r="P541" s="135"/>
      <c r="Q541" s="83">
        <f t="shared" si="8"/>
        <v>2024</v>
      </c>
      <c r="R541" s="106"/>
    </row>
    <row r="542" spans="1:18" ht="14.5" hidden="1" customHeight="1" x14ac:dyDescent="0.35">
      <c r="A542" s="118" t="s">
        <v>95</v>
      </c>
      <c r="B542" s="88" t="s">
        <v>1323</v>
      </c>
      <c r="C542" s="119" t="s">
        <v>82</v>
      </c>
      <c r="D542" s="119">
        <v>1</v>
      </c>
      <c r="E542" s="120" t="s">
        <v>1324</v>
      </c>
      <c r="F542" s="6" t="s">
        <v>53</v>
      </c>
      <c r="G542" s="143">
        <v>126300</v>
      </c>
      <c r="H542" s="121" t="s">
        <v>663</v>
      </c>
      <c r="I542" s="162"/>
      <c r="J542" s="162"/>
      <c r="K542" s="162"/>
      <c r="L542" s="162"/>
      <c r="M542" s="162"/>
      <c r="N542" s="162"/>
      <c r="O542" s="122" t="s">
        <v>664</v>
      </c>
      <c r="P542" s="22"/>
      <c r="Q542" s="83">
        <f t="shared" si="8"/>
        <v>2026</v>
      </c>
      <c r="R542" s="106"/>
    </row>
    <row r="543" spans="1:18" ht="14.5" hidden="1" x14ac:dyDescent="0.35">
      <c r="A543" s="118" t="s">
        <v>1177</v>
      </c>
      <c r="B543" s="88" t="s">
        <v>1178</v>
      </c>
      <c r="C543" s="119" t="s">
        <v>23</v>
      </c>
      <c r="D543" s="121" t="s">
        <v>1325</v>
      </c>
      <c r="E543" s="132" t="s">
        <v>1290</v>
      </c>
      <c r="F543" s="6" t="s">
        <v>25</v>
      </c>
      <c r="G543" s="143">
        <v>56950</v>
      </c>
      <c r="H543" s="119" t="s">
        <v>709</v>
      </c>
      <c r="I543" s="122" t="s">
        <v>27</v>
      </c>
      <c r="J543" s="122" t="s">
        <v>27</v>
      </c>
      <c r="K543" s="122" t="s">
        <v>27</v>
      </c>
      <c r="L543" s="122" t="s">
        <v>27</v>
      </c>
      <c r="M543" s="122" t="s">
        <v>27</v>
      </c>
      <c r="N543" s="122" t="s">
        <v>27</v>
      </c>
      <c r="O543" s="122" t="s">
        <v>745</v>
      </c>
      <c r="P543" s="22"/>
      <c r="Q543" s="83">
        <f t="shared" si="8"/>
        <v>2024</v>
      </c>
      <c r="R543" s="106"/>
    </row>
    <row r="544" spans="1:18" ht="14.5" hidden="1" customHeight="1" x14ac:dyDescent="0.35">
      <c r="A544" s="123" t="s">
        <v>1181</v>
      </c>
      <c r="B544" s="124" t="s">
        <v>1182</v>
      </c>
      <c r="C544" s="121" t="s">
        <v>48</v>
      </c>
      <c r="D544" s="119">
        <v>12</v>
      </c>
      <c r="E544" s="120" t="s">
        <v>696</v>
      </c>
      <c r="F544" s="6" t="s">
        <v>25</v>
      </c>
      <c r="G544" s="143">
        <v>176000</v>
      </c>
      <c r="H544" s="121" t="s">
        <v>726</v>
      </c>
      <c r="I544" s="163" t="s">
        <v>27</v>
      </c>
      <c r="J544" s="163" t="s">
        <v>27</v>
      </c>
      <c r="K544" s="163" t="s">
        <v>27</v>
      </c>
      <c r="L544" s="163" t="s">
        <v>27</v>
      </c>
      <c r="M544" s="163" t="s">
        <v>27</v>
      </c>
      <c r="N544" s="163" t="s">
        <v>27</v>
      </c>
      <c r="O544" s="122" t="s">
        <v>709</v>
      </c>
      <c r="P544" s="22" t="s">
        <v>1242</v>
      </c>
      <c r="Q544" s="83">
        <f t="shared" si="8"/>
        <v>2024</v>
      </c>
      <c r="R544" s="106"/>
    </row>
    <row r="545" spans="1:18" ht="14.5" hidden="1" customHeight="1" x14ac:dyDescent="0.35">
      <c r="A545" s="123" t="s">
        <v>1007</v>
      </c>
      <c r="B545" s="124" t="s">
        <v>1010</v>
      </c>
      <c r="C545" s="121" t="s">
        <v>48</v>
      </c>
      <c r="D545" s="119">
        <v>26</v>
      </c>
      <c r="E545" s="120" t="s">
        <v>1326</v>
      </c>
      <c r="F545" s="20" t="s">
        <v>25</v>
      </c>
      <c r="G545" s="143">
        <v>743752.82</v>
      </c>
      <c r="H545" s="121" t="s">
        <v>726</v>
      </c>
      <c r="I545" s="122" t="s">
        <v>27</v>
      </c>
      <c r="J545" s="122" t="s">
        <v>27</v>
      </c>
      <c r="K545" s="122" t="s">
        <v>27</v>
      </c>
      <c r="L545" s="122" t="s">
        <v>27</v>
      </c>
      <c r="M545" s="122" t="s">
        <v>27</v>
      </c>
      <c r="N545" s="122" t="s">
        <v>27</v>
      </c>
      <c r="O545" s="122" t="s">
        <v>745</v>
      </c>
      <c r="P545" s="22"/>
      <c r="Q545" s="83">
        <f t="shared" si="8"/>
        <v>2022</v>
      </c>
      <c r="R545" s="106"/>
    </row>
    <row r="546" spans="1:18" ht="14.5" hidden="1" x14ac:dyDescent="0.35">
      <c r="A546" s="123" t="s">
        <v>1274</v>
      </c>
      <c r="B546" s="124" t="s">
        <v>1275</v>
      </c>
      <c r="C546" s="121" t="s">
        <v>116</v>
      </c>
      <c r="D546" s="119">
        <v>2</v>
      </c>
      <c r="E546" s="133" t="s">
        <v>1327</v>
      </c>
      <c r="F546" s="6" t="s">
        <v>25</v>
      </c>
      <c r="G546" s="143">
        <v>3429</v>
      </c>
      <c r="H546" s="121" t="s">
        <v>709</v>
      </c>
      <c r="I546" s="122" t="s">
        <v>27</v>
      </c>
      <c r="J546" s="122" t="s">
        <v>27</v>
      </c>
      <c r="K546" s="122" t="s">
        <v>27</v>
      </c>
      <c r="L546" s="122" t="s">
        <v>27</v>
      </c>
      <c r="M546" s="122" t="s">
        <v>27</v>
      </c>
      <c r="N546" s="122" t="s">
        <v>27</v>
      </c>
      <c r="O546" s="122" t="s">
        <v>745</v>
      </c>
      <c r="P546" s="22"/>
      <c r="Q546" s="83">
        <f t="shared" si="8"/>
        <v>2024</v>
      </c>
      <c r="R546" s="106"/>
    </row>
    <row r="547" spans="1:18" ht="14.5" x14ac:dyDescent="0.35">
      <c r="A547" s="118" t="s">
        <v>952</v>
      </c>
      <c r="B547" s="88" t="s">
        <v>1328</v>
      </c>
      <c r="C547" s="119" t="s">
        <v>23</v>
      </c>
      <c r="D547" s="121" t="s">
        <v>1329</v>
      </c>
      <c r="E547" s="131" t="s">
        <v>1251</v>
      </c>
      <c r="F547" s="90" t="s">
        <v>25</v>
      </c>
      <c r="G547" s="143">
        <v>142000</v>
      </c>
      <c r="H547" s="119" t="s">
        <v>781</v>
      </c>
      <c r="I547" s="163" t="s">
        <v>27</v>
      </c>
      <c r="J547" s="163" t="s">
        <v>27</v>
      </c>
      <c r="K547" s="168" t="s">
        <v>27</v>
      </c>
      <c r="L547" s="6" t="s">
        <v>28</v>
      </c>
      <c r="M547" s="122"/>
      <c r="N547" s="122"/>
      <c r="O547" s="122" t="s">
        <v>756</v>
      </c>
      <c r="P547" s="164" t="s">
        <v>853</v>
      </c>
      <c r="Q547" s="83">
        <f t="shared" si="8"/>
        <v>2021</v>
      </c>
      <c r="R547" s="128">
        <v>46045</v>
      </c>
    </row>
    <row r="548" spans="1:18" ht="14.5" hidden="1" customHeight="1" x14ac:dyDescent="0.4">
      <c r="A548" s="118" t="s">
        <v>95</v>
      </c>
      <c r="B548" s="88" t="s">
        <v>1323</v>
      </c>
      <c r="C548" s="119" t="s">
        <v>82</v>
      </c>
      <c r="D548" s="119" t="s">
        <v>1330</v>
      </c>
      <c r="E548" s="120" t="s">
        <v>1324</v>
      </c>
      <c r="F548" s="6" t="s">
        <v>53</v>
      </c>
      <c r="G548" s="143">
        <v>46300</v>
      </c>
      <c r="H548" s="119" t="s">
        <v>749</v>
      </c>
      <c r="I548" s="162"/>
      <c r="J548" s="162"/>
      <c r="K548" s="162"/>
      <c r="L548" s="162"/>
      <c r="M548" s="162"/>
      <c r="N548" s="162"/>
      <c r="O548" s="122" t="s">
        <v>664</v>
      </c>
      <c r="P548" s="135"/>
      <c r="Q548" s="83">
        <f t="shared" si="8"/>
        <v>2026</v>
      </c>
      <c r="R548" s="106"/>
    </row>
    <row r="549" spans="1:18" ht="14.5" hidden="1" customHeight="1" x14ac:dyDescent="0.35">
      <c r="A549" s="123" t="s">
        <v>1114</v>
      </c>
      <c r="B549" s="124" t="s">
        <v>1115</v>
      </c>
      <c r="C549" s="121" t="s">
        <v>37</v>
      </c>
      <c r="D549" s="119" t="s">
        <v>1331</v>
      </c>
      <c r="E549" s="120" t="s">
        <v>1138</v>
      </c>
      <c r="F549" s="6" t="s">
        <v>25</v>
      </c>
      <c r="G549" s="143">
        <v>389620</v>
      </c>
      <c r="H549" s="121" t="s">
        <v>663</v>
      </c>
      <c r="I549" s="162"/>
      <c r="J549" s="162"/>
      <c r="K549" s="162"/>
      <c r="L549" s="162"/>
      <c r="M549" s="162"/>
      <c r="N549" s="162"/>
      <c r="O549" s="122" t="s">
        <v>664</v>
      </c>
      <c r="P549" s="22"/>
      <c r="Q549" s="83">
        <f t="shared" si="8"/>
        <v>2023</v>
      </c>
      <c r="R549" s="106"/>
    </row>
    <row r="550" spans="1:18" ht="14.5" x14ac:dyDescent="0.35">
      <c r="A550" s="118" t="s">
        <v>1332</v>
      </c>
      <c r="B550" s="88" t="s">
        <v>1333</v>
      </c>
      <c r="C550" s="119" t="s">
        <v>23</v>
      </c>
      <c r="D550" s="121">
        <v>1</v>
      </c>
      <c r="E550" s="131" t="s">
        <v>1334</v>
      </c>
      <c r="F550" s="90" t="s">
        <v>25</v>
      </c>
      <c r="G550" s="143">
        <v>317532.5</v>
      </c>
      <c r="H550" s="119" t="s">
        <v>781</v>
      </c>
      <c r="I550" s="163" t="s">
        <v>27</v>
      </c>
      <c r="J550" s="163" t="s">
        <v>27</v>
      </c>
      <c r="K550" s="168" t="s">
        <v>27</v>
      </c>
      <c r="L550" s="6" t="s">
        <v>28</v>
      </c>
      <c r="M550" s="122"/>
      <c r="N550" s="122"/>
      <c r="O550" s="122" t="s">
        <v>756</v>
      </c>
      <c r="P550" s="134" t="s">
        <v>1335</v>
      </c>
      <c r="Q550" s="83">
        <f t="shared" si="8"/>
        <v>2021</v>
      </c>
      <c r="R550" s="128">
        <v>46059</v>
      </c>
    </row>
    <row r="551" spans="1:18" ht="14.5" hidden="1" customHeight="1" x14ac:dyDescent="0.35">
      <c r="A551" s="118" t="s">
        <v>1114</v>
      </c>
      <c r="B551" s="88" t="s">
        <v>426</v>
      </c>
      <c r="C551" s="121" t="s">
        <v>37</v>
      </c>
      <c r="D551" s="119" t="s">
        <v>1314</v>
      </c>
      <c r="E551" s="120" t="s">
        <v>1315</v>
      </c>
      <c r="F551" s="6" t="s">
        <v>25</v>
      </c>
      <c r="G551" s="143">
        <v>113138</v>
      </c>
      <c r="H551" s="121" t="s">
        <v>663</v>
      </c>
      <c r="I551" s="162"/>
      <c r="J551" s="162"/>
      <c r="K551" s="162"/>
      <c r="L551" s="162"/>
      <c r="M551" s="162"/>
      <c r="N551" s="162"/>
      <c r="O551" s="122" t="s">
        <v>664</v>
      </c>
      <c r="P551" s="22"/>
      <c r="Q551" s="83">
        <f t="shared" si="8"/>
        <v>2023</v>
      </c>
      <c r="R551" s="106"/>
    </row>
    <row r="552" spans="1:18" ht="14.5" x14ac:dyDescent="0.35">
      <c r="A552" s="118" t="s">
        <v>1043</v>
      </c>
      <c r="B552" s="88" t="s">
        <v>1044</v>
      </c>
      <c r="C552" s="121" t="s">
        <v>37</v>
      </c>
      <c r="D552" s="119">
        <v>5</v>
      </c>
      <c r="E552" s="120" t="s">
        <v>1336</v>
      </c>
      <c r="F552" s="20" t="s">
        <v>25</v>
      </c>
      <c r="G552" s="143">
        <v>54000</v>
      </c>
      <c r="H552" s="121" t="s">
        <v>781</v>
      </c>
      <c r="I552" s="169" t="s">
        <v>27</v>
      </c>
      <c r="J552" s="169" t="s">
        <v>27</v>
      </c>
      <c r="K552" s="169" t="s">
        <v>27</v>
      </c>
      <c r="L552" s="6" t="s">
        <v>28</v>
      </c>
      <c r="M552" s="122"/>
      <c r="N552" s="122"/>
      <c r="O552" s="122" t="s">
        <v>756</v>
      </c>
      <c r="P552" s="116" t="s">
        <v>1066</v>
      </c>
      <c r="Q552" s="83">
        <f t="shared" si="8"/>
        <v>2022</v>
      </c>
      <c r="R552" s="125">
        <v>46049</v>
      </c>
    </row>
    <row r="553" spans="1:18" ht="14.5" hidden="1" x14ac:dyDescent="0.35">
      <c r="A553" s="118" t="s">
        <v>335</v>
      </c>
      <c r="B553" s="88" t="s">
        <v>1337</v>
      </c>
      <c r="C553" s="121" t="s">
        <v>48</v>
      </c>
      <c r="D553" s="119">
        <v>1</v>
      </c>
      <c r="E553" s="120" t="s">
        <v>1338</v>
      </c>
      <c r="F553" s="20" t="s">
        <v>25</v>
      </c>
      <c r="G553" s="143">
        <v>548700</v>
      </c>
      <c r="H553" s="121" t="s">
        <v>749</v>
      </c>
      <c r="I553" s="162"/>
      <c r="J553" s="162"/>
      <c r="K553" s="162"/>
      <c r="L553" s="162"/>
      <c r="M553" s="162"/>
      <c r="N553" s="162"/>
      <c r="O553" s="122" t="s">
        <v>664</v>
      </c>
      <c r="P553" s="22"/>
      <c r="Q553" s="83">
        <f t="shared" si="8"/>
        <v>2024</v>
      </c>
      <c r="R553" s="106"/>
    </row>
    <row r="554" spans="1:18" ht="14.5" hidden="1" customHeight="1" x14ac:dyDescent="0.35">
      <c r="A554" s="118" t="s">
        <v>387</v>
      </c>
      <c r="B554" s="88" t="s">
        <v>1339</v>
      </c>
      <c r="C554" s="121" t="s">
        <v>66</v>
      </c>
      <c r="D554" s="119">
        <v>1</v>
      </c>
      <c r="E554" s="120" t="s">
        <v>1160</v>
      </c>
      <c r="F554" s="6" t="s">
        <v>25</v>
      </c>
      <c r="G554" s="143">
        <v>1084169</v>
      </c>
      <c r="H554" s="121" t="s">
        <v>663</v>
      </c>
      <c r="I554" s="162"/>
      <c r="J554" s="162"/>
      <c r="K554" s="162"/>
      <c r="L554" s="162"/>
      <c r="M554" s="162"/>
      <c r="N554" s="162"/>
      <c r="O554" s="122" t="s">
        <v>664</v>
      </c>
      <c r="P554" s="22"/>
      <c r="Q554" s="83">
        <f t="shared" si="8"/>
        <v>2024</v>
      </c>
      <c r="R554" s="106"/>
    </row>
    <row r="555" spans="1:18" ht="14.5" hidden="1" customHeight="1" x14ac:dyDescent="0.35">
      <c r="A555" s="118" t="s">
        <v>1252</v>
      </c>
      <c r="B555" s="88" t="s">
        <v>314</v>
      </c>
      <c r="C555" s="121" t="s">
        <v>48</v>
      </c>
      <c r="D555" s="119">
        <v>4</v>
      </c>
      <c r="E555" s="120" t="s">
        <v>1340</v>
      </c>
      <c r="F555" s="20" t="s">
        <v>25</v>
      </c>
      <c r="G555" s="143">
        <v>278288</v>
      </c>
      <c r="H555" s="121" t="s">
        <v>663</v>
      </c>
      <c r="I555" s="162"/>
      <c r="J555" s="162"/>
      <c r="K555" s="162"/>
      <c r="L555" s="162"/>
      <c r="M555" s="162"/>
      <c r="N555" s="162"/>
      <c r="O555" s="122" t="s">
        <v>664</v>
      </c>
      <c r="P555" s="22"/>
      <c r="Q555" s="83">
        <f t="shared" si="8"/>
        <v>2024</v>
      </c>
      <c r="R555" s="106"/>
    </row>
    <row r="556" spans="1:18" ht="14.5" customHeight="1" x14ac:dyDescent="0.35">
      <c r="A556" s="118" t="s">
        <v>1341</v>
      </c>
      <c r="B556" s="88" t="s">
        <v>160</v>
      </c>
      <c r="C556" s="121" t="s">
        <v>42</v>
      </c>
      <c r="D556" s="119">
        <v>1</v>
      </c>
      <c r="E556" s="120" t="s">
        <v>753</v>
      </c>
      <c r="F556" s="20" t="s">
        <v>25</v>
      </c>
      <c r="G556" s="143">
        <v>16000</v>
      </c>
      <c r="H556" s="121" t="s">
        <v>781</v>
      </c>
      <c r="I556" s="166" t="s">
        <v>27</v>
      </c>
      <c r="J556" s="166" t="s">
        <v>27</v>
      </c>
      <c r="K556" s="166" t="s">
        <v>27</v>
      </c>
      <c r="L556" s="6" t="s">
        <v>28</v>
      </c>
      <c r="M556" s="122"/>
      <c r="N556" s="122"/>
      <c r="O556" s="122" t="s">
        <v>756</v>
      </c>
      <c r="P556" s="6" t="s">
        <v>1342</v>
      </c>
      <c r="Q556" s="83">
        <f t="shared" si="8"/>
        <v>2025</v>
      </c>
      <c r="R556" s="125">
        <v>46058</v>
      </c>
    </row>
    <row r="557" spans="1:18" ht="14.5" hidden="1" customHeight="1" x14ac:dyDescent="0.35">
      <c r="A557" s="118" t="s">
        <v>825</v>
      </c>
      <c r="B557" s="88" t="s">
        <v>826</v>
      </c>
      <c r="C557" s="119" t="s">
        <v>23</v>
      </c>
      <c r="D557" s="119">
        <v>3</v>
      </c>
      <c r="E557" s="120" t="s">
        <v>753</v>
      </c>
      <c r="F557" s="20" t="s">
        <v>25</v>
      </c>
      <c r="G557" s="143">
        <v>24000</v>
      </c>
      <c r="H557" s="121" t="s">
        <v>663</v>
      </c>
      <c r="I557" s="162"/>
      <c r="J557" s="162"/>
      <c r="K557" s="162"/>
      <c r="L557" s="162"/>
      <c r="M557" s="162"/>
      <c r="N557" s="162"/>
      <c r="O557" s="122" t="s">
        <v>664</v>
      </c>
      <c r="P557" s="22"/>
      <c r="Q557" s="83">
        <f t="shared" si="8"/>
        <v>2020</v>
      </c>
      <c r="R557" s="106"/>
    </row>
    <row r="558" spans="1:18" ht="14.5" x14ac:dyDescent="0.35">
      <c r="A558" s="118" t="s">
        <v>119</v>
      </c>
      <c r="B558" s="88" t="s">
        <v>120</v>
      </c>
      <c r="C558" s="121" t="s">
        <v>48</v>
      </c>
      <c r="D558" s="119">
        <v>1</v>
      </c>
      <c r="E558" s="120" t="s">
        <v>1273</v>
      </c>
      <c r="F558" s="20" t="s">
        <v>25</v>
      </c>
      <c r="G558" s="143">
        <v>413600</v>
      </c>
      <c r="H558" s="121" t="s">
        <v>726</v>
      </c>
      <c r="I558" s="166" t="s">
        <v>27</v>
      </c>
      <c r="J558" s="166" t="s">
        <v>27</v>
      </c>
      <c r="K558" s="166" t="s">
        <v>27</v>
      </c>
      <c r="L558" s="122" t="s">
        <v>27</v>
      </c>
      <c r="M558" s="122" t="s">
        <v>27</v>
      </c>
      <c r="N558" s="6" t="s">
        <v>28</v>
      </c>
      <c r="O558" s="122" t="s">
        <v>756</v>
      </c>
      <c r="P558" s="22" t="s">
        <v>774</v>
      </c>
      <c r="Q558" s="83">
        <f t="shared" si="8"/>
        <v>2025</v>
      </c>
      <c r="R558" s="125">
        <v>46066</v>
      </c>
    </row>
    <row r="559" spans="1:18" ht="14.5" hidden="1" x14ac:dyDescent="0.35">
      <c r="A559" s="123" t="s">
        <v>1222</v>
      </c>
      <c r="B559" s="88" t="s">
        <v>275</v>
      </c>
      <c r="C559" s="121" t="s">
        <v>48</v>
      </c>
      <c r="D559" s="119">
        <v>4</v>
      </c>
      <c r="E559" s="120" t="s">
        <v>1343</v>
      </c>
      <c r="F559" s="6" t="s">
        <v>25</v>
      </c>
      <c r="G559" s="143">
        <v>325000</v>
      </c>
      <c r="H559" s="121" t="s">
        <v>726</v>
      </c>
      <c r="I559" s="122" t="s">
        <v>27</v>
      </c>
      <c r="J559" s="122" t="s">
        <v>27</v>
      </c>
      <c r="K559" s="122" t="s">
        <v>27</v>
      </c>
      <c r="L559" s="122" t="s">
        <v>27</v>
      </c>
      <c r="M559" s="122" t="s">
        <v>27</v>
      </c>
      <c r="N559" s="122" t="s">
        <v>27</v>
      </c>
      <c r="O559" s="122" t="s">
        <v>745</v>
      </c>
      <c r="P559" s="22"/>
      <c r="Q559" s="83">
        <f t="shared" si="8"/>
        <v>2024</v>
      </c>
      <c r="R559" s="106"/>
    </row>
    <row r="560" spans="1:18" ht="14.5" hidden="1" customHeight="1" x14ac:dyDescent="0.35">
      <c r="A560" s="118" t="s">
        <v>1240</v>
      </c>
      <c r="B560" s="88" t="s">
        <v>340</v>
      </c>
      <c r="C560" s="121" t="s">
        <v>48</v>
      </c>
      <c r="D560" s="119">
        <v>3</v>
      </c>
      <c r="E560" s="120" t="s">
        <v>696</v>
      </c>
      <c r="F560" s="6" t="s">
        <v>25</v>
      </c>
      <c r="G560" s="143" t="s">
        <v>1344</v>
      </c>
      <c r="H560" s="121" t="s">
        <v>749</v>
      </c>
      <c r="I560" s="162"/>
      <c r="J560" s="162"/>
      <c r="K560" s="162"/>
      <c r="L560" s="162"/>
      <c r="M560" s="162"/>
      <c r="N560" s="162"/>
      <c r="O560" s="122" t="s">
        <v>664</v>
      </c>
      <c r="P560" s="22"/>
      <c r="Q560" s="83">
        <f t="shared" si="8"/>
        <v>2024</v>
      </c>
      <c r="R560" s="106"/>
    </row>
    <row r="561" spans="1:18" ht="14.5" hidden="1" customHeight="1" x14ac:dyDescent="0.35">
      <c r="A561" s="118" t="s">
        <v>1177</v>
      </c>
      <c r="B561" s="88" t="s">
        <v>1178</v>
      </c>
      <c r="C561" s="119" t="s">
        <v>23</v>
      </c>
      <c r="D561" s="121" t="s">
        <v>1345</v>
      </c>
      <c r="E561" s="120" t="s">
        <v>1346</v>
      </c>
      <c r="F561" s="6" t="s">
        <v>25</v>
      </c>
      <c r="G561" s="143">
        <v>68545.64</v>
      </c>
      <c r="H561" s="119" t="s">
        <v>709</v>
      </c>
      <c r="I561" s="122" t="s">
        <v>27</v>
      </c>
      <c r="J561" s="122" t="s">
        <v>27</v>
      </c>
      <c r="K561" s="122" t="s">
        <v>27</v>
      </c>
      <c r="L561" s="122" t="s">
        <v>27</v>
      </c>
      <c r="M561" s="122" t="s">
        <v>27</v>
      </c>
      <c r="N561" s="122" t="s">
        <v>27</v>
      </c>
      <c r="O561" s="122" t="s">
        <v>745</v>
      </c>
      <c r="P561" s="6"/>
      <c r="Q561" s="83">
        <f t="shared" si="8"/>
        <v>2024</v>
      </c>
      <c r="R561" s="106"/>
    </row>
    <row r="562" spans="1:18" ht="14.5" hidden="1" customHeight="1" x14ac:dyDescent="0.35">
      <c r="A562" s="118" t="s">
        <v>1252</v>
      </c>
      <c r="B562" s="88" t="s">
        <v>314</v>
      </c>
      <c r="C562" s="121" t="s">
        <v>48</v>
      </c>
      <c r="D562" s="119">
        <v>5</v>
      </c>
      <c r="E562" s="120" t="s">
        <v>994</v>
      </c>
      <c r="F562" s="20" t="s">
        <v>25</v>
      </c>
      <c r="G562" s="143">
        <v>305000</v>
      </c>
      <c r="H562" s="121" t="s">
        <v>663</v>
      </c>
      <c r="I562" s="162"/>
      <c r="J562" s="162"/>
      <c r="K562" s="162"/>
      <c r="L562" s="162"/>
      <c r="M562" s="162"/>
      <c r="N562" s="162"/>
      <c r="O562" s="122" t="s">
        <v>664</v>
      </c>
      <c r="P562" s="22"/>
      <c r="Q562" s="83">
        <f t="shared" si="8"/>
        <v>2024</v>
      </c>
      <c r="R562" s="106"/>
    </row>
    <row r="563" spans="1:18" ht="14.5" hidden="1" customHeight="1" x14ac:dyDescent="0.35">
      <c r="A563" s="118" t="s">
        <v>1114</v>
      </c>
      <c r="B563" s="88" t="s">
        <v>1115</v>
      </c>
      <c r="C563" s="121" t="s">
        <v>37</v>
      </c>
      <c r="D563" s="119" t="s">
        <v>1331</v>
      </c>
      <c r="E563" s="120" t="s">
        <v>1138</v>
      </c>
      <c r="F563" s="6" t="s">
        <v>25</v>
      </c>
      <c r="G563" s="143">
        <v>356102</v>
      </c>
      <c r="H563" s="121" t="s">
        <v>749</v>
      </c>
      <c r="I563" s="162"/>
      <c r="J563" s="162"/>
      <c r="K563" s="162"/>
      <c r="L563" s="162"/>
      <c r="M563" s="162"/>
      <c r="N563" s="162"/>
      <c r="O563" s="122" t="s">
        <v>664</v>
      </c>
      <c r="P563" s="22"/>
      <c r="Q563" s="83">
        <f t="shared" si="8"/>
        <v>2023</v>
      </c>
      <c r="R563" s="106"/>
    </row>
    <row r="564" spans="1:18" ht="14.5" hidden="1" customHeight="1" x14ac:dyDescent="0.35">
      <c r="A564" s="118" t="s">
        <v>1347</v>
      </c>
      <c r="B564" s="88" t="s">
        <v>1348</v>
      </c>
      <c r="C564" s="121" t="s">
        <v>116</v>
      </c>
      <c r="D564" s="119">
        <v>1</v>
      </c>
      <c r="E564" s="120" t="s">
        <v>807</v>
      </c>
      <c r="F564" s="6" t="s">
        <v>25</v>
      </c>
      <c r="G564" s="143">
        <v>130000</v>
      </c>
      <c r="H564" s="121" t="s">
        <v>749</v>
      </c>
      <c r="I564" s="162"/>
      <c r="J564" s="162"/>
      <c r="K564" s="162"/>
      <c r="L564" s="162"/>
      <c r="M564" s="162"/>
      <c r="N564" s="162"/>
      <c r="O564" s="122" t="s">
        <v>664</v>
      </c>
      <c r="P564" s="170"/>
      <c r="Q564" s="83">
        <f t="shared" si="8"/>
        <v>2025</v>
      </c>
      <c r="R564" s="106"/>
    </row>
    <row r="565" spans="1:18" ht="14.5" customHeight="1" x14ac:dyDescent="0.35">
      <c r="A565" s="118" t="s">
        <v>1240</v>
      </c>
      <c r="B565" s="88" t="s">
        <v>340</v>
      </c>
      <c r="C565" s="121" t="s">
        <v>48</v>
      </c>
      <c r="D565" s="119">
        <v>4</v>
      </c>
      <c r="E565" s="120" t="s">
        <v>1349</v>
      </c>
      <c r="F565" s="6" t="s">
        <v>25</v>
      </c>
      <c r="G565" s="143">
        <v>88000</v>
      </c>
      <c r="H565" s="121" t="s">
        <v>726</v>
      </c>
      <c r="I565" s="166" t="s">
        <v>27</v>
      </c>
      <c r="J565" s="166" t="s">
        <v>27</v>
      </c>
      <c r="K565" s="166" t="s">
        <v>27</v>
      </c>
      <c r="L565" s="122" t="s">
        <v>27</v>
      </c>
      <c r="M565" s="122" t="s">
        <v>27</v>
      </c>
      <c r="N565" s="6" t="s">
        <v>28</v>
      </c>
      <c r="O565" s="122" t="s">
        <v>756</v>
      </c>
      <c r="P565" s="22" t="s">
        <v>1350</v>
      </c>
      <c r="Q565" s="83">
        <f t="shared" si="8"/>
        <v>2024</v>
      </c>
      <c r="R565" s="125">
        <v>46129</v>
      </c>
    </row>
    <row r="566" spans="1:18" ht="14.5" hidden="1" customHeight="1" x14ac:dyDescent="0.35">
      <c r="A566" s="118" t="s">
        <v>1114</v>
      </c>
      <c r="B566" s="88" t="s">
        <v>426</v>
      </c>
      <c r="C566" s="121" t="s">
        <v>37</v>
      </c>
      <c r="D566" s="119" t="s">
        <v>1351</v>
      </c>
      <c r="E566" s="120" t="s">
        <v>1138</v>
      </c>
      <c r="F566" s="6" t="s">
        <v>25</v>
      </c>
      <c r="G566" s="143">
        <v>556892</v>
      </c>
      <c r="H566" s="121" t="s">
        <v>663</v>
      </c>
      <c r="I566" s="162"/>
      <c r="J566" s="162"/>
      <c r="K566" s="162"/>
      <c r="L566" s="162"/>
      <c r="M566" s="162"/>
      <c r="N566" s="162"/>
      <c r="O566" s="122" t="s">
        <v>664</v>
      </c>
      <c r="P566" s="22"/>
      <c r="Q566" s="83">
        <f t="shared" si="8"/>
        <v>2023</v>
      </c>
      <c r="R566" s="106"/>
    </row>
    <row r="567" spans="1:18" ht="14.5" hidden="1" customHeight="1" x14ac:dyDescent="0.35">
      <c r="A567" s="118" t="s">
        <v>1114</v>
      </c>
      <c r="B567" s="88" t="s">
        <v>426</v>
      </c>
      <c r="C567" s="121" t="s">
        <v>37</v>
      </c>
      <c r="D567" s="119">
        <v>7</v>
      </c>
      <c r="E567" s="120" t="s">
        <v>1352</v>
      </c>
      <c r="F567" s="6" t="s">
        <v>25</v>
      </c>
      <c r="G567" s="143">
        <v>145442.4</v>
      </c>
      <c r="H567" s="121" t="s">
        <v>663</v>
      </c>
      <c r="I567" s="162"/>
      <c r="J567" s="162"/>
      <c r="K567" s="162"/>
      <c r="L567" s="162"/>
      <c r="M567" s="162"/>
      <c r="N567" s="162"/>
      <c r="O567" s="122" t="s">
        <v>664</v>
      </c>
      <c r="P567" s="22"/>
      <c r="Q567" s="83">
        <f t="shared" si="8"/>
        <v>2023</v>
      </c>
      <c r="R567" s="106"/>
    </row>
    <row r="568" spans="1:18" ht="15" hidden="1" customHeight="1" x14ac:dyDescent="0.35">
      <c r="A568" s="101" t="s">
        <v>854</v>
      </c>
      <c r="B568" s="88" t="s">
        <v>855</v>
      </c>
      <c r="C568" s="119" t="s">
        <v>82</v>
      </c>
      <c r="D568" s="121" t="s">
        <v>1353</v>
      </c>
      <c r="E568" s="131" t="s">
        <v>1354</v>
      </c>
      <c r="F568" s="90" t="s">
        <v>44</v>
      </c>
      <c r="G568" s="143">
        <v>128500</v>
      </c>
      <c r="H568" s="119" t="s">
        <v>726</v>
      </c>
      <c r="I568" s="122" t="s">
        <v>27</v>
      </c>
      <c r="J568" s="122" t="s">
        <v>27</v>
      </c>
      <c r="K568" s="122" t="s">
        <v>27</v>
      </c>
      <c r="L568" s="122" t="s">
        <v>27</v>
      </c>
      <c r="M568" s="122" t="s">
        <v>27</v>
      </c>
      <c r="N568" s="122" t="s">
        <v>27</v>
      </c>
      <c r="O568" s="122" t="s">
        <v>745</v>
      </c>
      <c r="P568" s="6"/>
      <c r="Q568" s="83">
        <f t="shared" si="8"/>
        <v>2021</v>
      </c>
      <c r="R568" s="106"/>
    </row>
    <row r="569" spans="1:18" ht="15" hidden="1" customHeight="1" x14ac:dyDescent="0.35">
      <c r="A569" s="101" t="s">
        <v>1114</v>
      </c>
      <c r="B569" s="85" t="s">
        <v>426</v>
      </c>
      <c r="C569" s="76" t="s">
        <v>37</v>
      </c>
      <c r="D569" s="77">
        <v>11</v>
      </c>
      <c r="E569" s="120" t="s">
        <v>1355</v>
      </c>
      <c r="F569" s="20" t="s">
        <v>25</v>
      </c>
      <c r="G569" s="145">
        <v>356000</v>
      </c>
      <c r="H569" s="121" t="s">
        <v>663</v>
      </c>
      <c r="I569" s="162"/>
      <c r="J569" s="162"/>
      <c r="K569" s="162"/>
      <c r="L569" s="162"/>
      <c r="M569" s="162"/>
      <c r="N569" s="162"/>
      <c r="O569" s="122" t="s">
        <v>664</v>
      </c>
      <c r="P569" s="22"/>
      <c r="Q569" s="83">
        <f t="shared" si="8"/>
        <v>2023</v>
      </c>
      <c r="R569" s="106"/>
    </row>
    <row r="570" spans="1:18" ht="15" hidden="1" customHeight="1" x14ac:dyDescent="0.35">
      <c r="A570" s="101" t="s">
        <v>95</v>
      </c>
      <c r="B570" s="85" t="s">
        <v>1323</v>
      </c>
      <c r="C570" s="119" t="s">
        <v>82</v>
      </c>
      <c r="D570" s="31" t="s">
        <v>1356</v>
      </c>
      <c r="E570" s="120" t="s">
        <v>1324</v>
      </c>
      <c r="F570" s="6" t="s">
        <v>53</v>
      </c>
      <c r="G570" s="146">
        <v>30000</v>
      </c>
      <c r="H570" s="119" t="s">
        <v>709</v>
      </c>
      <c r="I570" s="122" t="s">
        <v>27</v>
      </c>
      <c r="J570" s="122" t="s">
        <v>27</v>
      </c>
      <c r="K570" s="122" t="s">
        <v>27</v>
      </c>
      <c r="L570" s="122" t="s">
        <v>27</v>
      </c>
      <c r="M570" s="122" t="s">
        <v>27</v>
      </c>
      <c r="N570" s="122" t="s">
        <v>27</v>
      </c>
      <c r="O570" s="122" t="s">
        <v>745</v>
      </c>
      <c r="P570" s="6"/>
      <c r="Q570" s="83">
        <f t="shared" si="8"/>
        <v>2026</v>
      </c>
      <c r="R570" s="106"/>
    </row>
    <row r="571" spans="1:18" ht="15" hidden="1" customHeight="1" x14ac:dyDescent="0.35">
      <c r="A571" s="101" t="s">
        <v>1114</v>
      </c>
      <c r="B571" s="85" t="s">
        <v>426</v>
      </c>
      <c r="C571" s="76" t="s">
        <v>37</v>
      </c>
      <c r="D571" s="77" t="s">
        <v>1357</v>
      </c>
      <c r="E571" s="131" t="s">
        <v>1358</v>
      </c>
      <c r="F571" s="78" t="s">
        <v>25</v>
      </c>
      <c r="G571" s="146">
        <v>38200</v>
      </c>
      <c r="H571" s="121" t="s">
        <v>663</v>
      </c>
      <c r="I571" s="162"/>
      <c r="J571" s="162"/>
      <c r="K571" s="162"/>
      <c r="L571" s="162"/>
      <c r="M571" s="162"/>
      <c r="N571" s="162"/>
      <c r="O571" s="122" t="s">
        <v>664</v>
      </c>
      <c r="P571" s="22"/>
      <c r="Q571" s="83">
        <f t="shared" si="8"/>
        <v>2023</v>
      </c>
      <c r="R571" s="106"/>
    </row>
    <row r="572" spans="1:18" ht="15" customHeight="1" x14ac:dyDescent="0.35">
      <c r="A572" s="101" t="s">
        <v>1252</v>
      </c>
      <c r="B572" s="85" t="s">
        <v>314</v>
      </c>
      <c r="C572" s="121" t="s">
        <v>48</v>
      </c>
      <c r="D572" s="77" t="s">
        <v>1359</v>
      </c>
      <c r="E572" s="131" t="s">
        <v>1255</v>
      </c>
      <c r="F572" s="6" t="s">
        <v>25</v>
      </c>
      <c r="G572" s="146">
        <v>460</v>
      </c>
      <c r="H572" s="14" t="s">
        <v>781</v>
      </c>
      <c r="I572" s="122" t="s">
        <v>27</v>
      </c>
      <c r="J572" s="122" t="s">
        <v>27</v>
      </c>
      <c r="K572" s="122" t="s">
        <v>27</v>
      </c>
      <c r="L572" s="6" t="s">
        <v>28</v>
      </c>
      <c r="M572" s="122"/>
      <c r="N572" s="122"/>
      <c r="O572" s="122" t="s">
        <v>756</v>
      </c>
      <c r="P572" s="6" t="s">
        <v>1342</v>
      </c>
      <c r="Q572" s="83">
        <f t="shared" si="8"/>
        <v>2024</v>
      </c>
      <c r="R572" s="125">
        <v>46092</v>
      </c>
    </row>
    <row r="573" spans="1:18" ht="15" hidden="1" customHeight="1" x14ac:dyDescent="0.35">
      <c r="A573" s="101" t="s">
        <v>1252</v>
      </c>
      <c r="B573" s="85" t="s">
        <v>314</v>
      </c>
      <c r="C573" s="121" t="s">
        <v>48</v>
      </c>
      <c r="D573" s="77" t="s">
        <v>1360</v>
      </c>
      <c r="E573" s="131" t="s">
        <v>1340</v>
      </c>
      <c r="F573" s="78" t="s">
        <v>25</v>
      </c>
      <c r="G573" s="146">
        <v>254288</v>
      </c>
      <c r="H573" s="121" t="s">
        <v>663</v>
      </c>
      <c r="I573" s="162"/>
      <c r="J573" s="162"/>
      <c r="K573" s="162"/>
      <c r="L573" s="162"/>
      <c r="M573" s="162"/>
      <c r="N573" s="162"/>
      <c r="O573" s="122" t="s">
        <v>664</v>
      </c>
      <c r="P573" s="22"/>
      <c r="Q573" s="83">
        <f t="shared" si="8"/>
        <v>2024</v>
      </c>
      <c r="R573" s="106"/>
    </row>
    <row r="574" spans="1:18" ht="15" customHeight="1" x14ac:dyDescent="0.35">
      <c r="A574" s="101" t="s">
        <v>1252</v>
      </c>
      <c r="B574" s="85" t="s">
        <v>314</v>
      </c>
      <c r="C574" s="121" t="s">
        <v>48</v>
      </c>
      <c r="D574" s="77" t="s">
        <v>1331</v>
      </c>
      <c r="E574" s="131" t="s">
        <v>994</v>
      </c>
      <c r="F574" s="78" t="s">
        <v>25</v>
      </c>
      <c r="G574" s="146">
        <v>305000</v>
      </c>
      <c r="H574" s="76" t="s">
        <v>726</v>
      </c>
      <c r="I574" s="122" t="s">
        <v>27</v>
      </c>
      <c r="J574" s="122" t="s">
        <v>27</v>
      </c>
      <c r="K574" s="122" t="s">
        <v>27</v>
      </c>
      <c r="L574" s="122" t="s">
        <v>27</v>
      </c>
      <c r="M574" s="6" t="s">
        <v>28</v>
      </c>
      <c r="N574" s="122"/>
      <c r="O574" s="122" t="s">
        <v>756</v>
      </c>
      <c r="P574" s="22" t="s">
        <v>1361</v>
      </c>
      <c r="Q574" s="83">
        <f t="shared" si="8"/>
        <v>2024</v>
      </c>
      <c r="R574" s="125">
        <v>46128</v>
      </c>
    </row>
    <row r="575" spans="1:18" ht="15" hidden="1" customHeight="1" x14ac:dyDescent="0.35">
      <c r="A575" s="101" t="s">
        <v>1252</v>
      </c>
      <c r="B575" s="85" t="s">
        <v>314</v>
      </c>
      <c r="C575" s="121" t="s">
        <v>48</v>
      </c>
      <c r="D575" s="77">
        <v>6</v>
      </c>
      <c r="E575" s="131" t="s">
        <v>1362</v>
      </c>
      <c r="F575" s="78" t="s">
        <v>25</v>
      </c>
      <c r="G575" s="146">
        <v>198900</v>
      </c>
      <c r="H575" s="14" t="s">
        <v>749</v>
      </c>
      <c r="I575" s="162"/>
      <c r="J575" s="162"/>
      <c r="K575" s="162"/>
      <c r="L575" s="162"/>
      <c r="M575" s="162"/>
      <c r="N575" s="162"/>
      <c r="O575" s="122" t="s">
        <v>664</v>
      </c>
      <c r="P575" s="22"/>
      <c r="Q575" s="83">
        <f t="shared" si="8"/>
        <v>2024</v>
      </c>
      <c r="R575" s="106"/>
    </row>
    <row r="576" spans="1:18" ht="15" hidden="1" customHeight="1" x14ac:dyDescent="0.35">
      <c r="A576" s="101" t="s">
        <v>221</v>
      </c>
      <c r="B576" s="85" t="s">
        <v>222</v>
      </c>
      <c r="C576" s="119" t="s">
        <v>23</v>
      </c>
      <c r="D576" s="77">
        <v>1</v>
      </c>
      <c r="E576" s="131" t="s">
        <v>1363</v>
      </c>
      <c r="F576" s="78" t="s">
        <v>25</v>
      </c>
      <c r="G576" s="146">
        <v>578145</v>
      </c>
      <c r="H576" s="121" t="s">
        <v>663</v>
      </c>
      <c r="I576" s="162"/>
      <c r="J576" s="162"/>
      <c r="K576" s="162"/>
      <c r="L576" s="162"/>
      <c r="M576" s="162"/>
      <c r="N576" s="162"/>
      <c r="O576" s="122" t="s">
        <v>664</v>
      </c>
      <c r="P576" s="22"/>
      <c r="Q576" s="83">
        <f t="shared" si="8"/>
        <v>2025</v>
      </c>
      <c r="R576" s="106"/>
    </row>
    <row r="577" spans="1:18" ht="15" hidden="1" customHeight="1" x14ac:dyDescent="0.35">
      <c r="A577" s="101" t="s">
        <v>794</v>
      </c>
      <c r="B577" s="85" t="s">
        <v>792</v>
      </c>
      <c r="C577" s="119" t="s">
        <v>23</v>
      </c>
      <c r="D577" s="77">
        <v>6</v>
      </c>
      <c r="E577" s="131" t="s">
        <v>1364</v>
      </c>
      <c r="F577" s="6" t="s">
        <v>25</v>
      </c>
      <c r="G577" s="146">
        <v>55000</v>
      </c>
      <c r="H577" s="14" t="s">
        <v>749</v>
      </c>
      <c r="I577" s="162"/>
      <c r="J577" s="162"/>
      <c r="K577" s="162"/>
      <c r="L577" s="162"/>
      <c r="M577" s="162"/>
      <c r="N577" s="162"/>
      <c r="O577" s="122" t="s">
        <v>664</v>
      </c>
      <c r="P577" s="22"/>
      <c r="Q577" s="83">
        <f t="shared" si="8"/>
        <v>2020</v>
      </c>
      <c r="R577" s="106"/>
    </row>
    <row r="578" spans="1:18" ht="15" customHeight="1" x14ac:dyDescent="0.35">
      <c r="A578" s="101" t="s">
        <v>1114</v>
      </c>
      <c r="B578" s="85" t="s">
        <v>426</v>
      </c>
      <c r="C578" s="76" t="s">
        <v>37</v>
      </c>
      <c r="D578" s="77" t="s">
        <v>1365</v>
      </c>
      <c r="E578" s="131" t="s">
        <v>1352</v>
      </c>
      <c r="F578" s="6" t="s">
        <v>25</v>
      </c>
      <c r="G578" s="146">
        <v>144685</v>
      </c>
      <c r="H578" s="14" t="s">
        <v>781</v>
      </c>
      <c r="I578" s="122" t="s">
        <v>27</v>
      </c>
      <c r="J578" s="122" t="s">
        <v>27</v>
      </c>
      <c r="K578" s="122" t="s">
        <v>27</v>
      </c>
      <c r="L578" s="6" t="s">
        <v>28</v>
      </c>
      <c r="M578" s="122"/>
      <c r="N578" s="122"/>
      <c r="O578" s="122" t="s">
        <v>756</v>
      </c>
      <c r="P578" s="164" t="s">
        <v>1158</v>
      </c>
      <c r="Q578" s="83">
        <f t="shared" si="8"/>
        <v>2023</v>
      </c>
      <c r="R578" s="125">
        <v>46097</v>
      </c>
    </row>
    <row r="579" spans="1:18" ht="15" customHeight="1" x14ac:dyDescent="0.35">
      <c r="A579" s="101" t="s">
        <v>335</v>
      </c>
      <c r="B579" s="85" t="s">
        <v>336</v>
      </c>
      <c r="C579" s="121" t="s">
        <v>48</v>
      </c>
      <c r="D579" s="77" t="s">
        <v>1366</v>
      </c>
      <c r="E579" s="131" t="s">
        <v>1367</v>
      </c>
      <c r="F579" s="78" t="s">
        <v>25</v>
      </c>
      <c r="G579" s="146">
        <v>493830</v>
      </c>
      <c r="H579" s="14" t="s">
        <v>781</v>
      </c>
      <c r="I579" s="122" t="s">
        <v>27</v>
      </c>
      <c r="J579" s="122" t="s">
        <v>27</v>
      </c>
      <c r="K579" s="122" t="s">
        <v>27</v>
      </c>
      <c r="L579" s="6" t="s">
        <v>28</v>
      </c>
      <c r="M579" s="122"/>
      <c r="N579" s="122"/>
      <c r="O579" s="122" t="s">
        <v>756</v>
      </c>
      <c r="P579" s="6" t="s">
        <v>1342</v>
      </c>
      <c r="Q579" s="83">
        <f t="shared" ref="Q579:Q638" si="9">IFERROR(2000+VALUE(LEFT(A579,2)),"")</f>
        <v>2024</v>
      </c>
      <c r="R579" s="125">
        <v>46133</v>
      </c>
    </row>
    <row r="580" spans="1:18" ht="15" customHeight="1" x14ac:dyDescent="0.35">
      <c r="A580" s="101" t="s">
        <v>1368</v>
      </c>
      <c r="B580" s="85" t="s">
        <v>1369</v>
      </c>
      <c r="C580" s="121" t="s">
        <v>66</v>
      </c>
      <c r="D580" s="77" t="s">
        <v>1370</v>
      </c>
      <c r="E580" s="131" t="s">
        <v>1371</v>
      </c>
      <c r="F580" s="78" t="s">
        <v>25</v>
      </c>
      <c r="G580" s="146">
        <v>38980.11</v>
      </c>
      <c r="H580" s="14" t="s">
        <v>726</v>
      </c>
      <c r="I580" s="122" t="s">
        <v>27</v>
      </c>
      <c r="J580" s="122" t="s">
        <v>27</v>
      </c>
      <c r="K580" s="122" t="s">
        <v>27</v>
      </c>
      <c r="L580" s="122" t="s">
        <v>27</v>
      </c>
      <c r="M580" s="6" t="s">
        <v>28</v>
      </c>
      <c r="N580" s="122"/>
      <c r="O580" s="122" t="s">
        <v>756</v>
      </c>
      <c r="P580" s="6" t="s">
        <v>774</v>
      </c>
      <c r="Q580" s="83">
        <f t="shared" si="9"/>
        <v>2025</v>
      </c>
      <c r="R580" s="125">
        <v>46099</v>
      </c>
    </row>
    <row r="581" spans="1:18" ht="15" customHeight="1" x14ac:dyDescent="0.35">
      <c r="A581" s="101" t="s">
        <v>1368</v>
      </c>
      <c r="B581" s="85" t="s">
        <v>1369</v>
      </c>
      <c r="C581" s="121" t="s">
        <v>66</v>
      </c>
      <c r="D581" s="77" t="s">
        <v>1372</v>
      </c>
      <c r="E581" s="131" t="s">
        <v>1373</v>
      </c>
      <c r="F581" s="78" t="s">
        <v>25</v>
      </c>
      <c r="G581" s="146">
        <v>31250.23</v>
      </c>
      <c r="H581" s="14" t="s">
        <v>726</v>
      </c>
      <c r="I581" s="122" t="s">
        <v>27</v>
      </c>
      <c r="J581" s="122" t="s">
        <v>27</v>
      </c>
      <c r="K581" s="122" t="s">
        <v>27</v>
      </c>
      <c r="L581" s="122" t="s">
        <v>27</v>
      </c>
      <c r="M581" s="6" t="s">
        <v>28</v>
      </c>
      <c r="N581" s="122"/>
      <c r="O581" s="122" t="s">
        <v>756</v>
      </c>
      <c r="P581" s="6" t="s">
        <v>774</v>
      </c>
      <c r="Q581" s="83">
        <f t="shared" si="9"/>
        <v>2025</v>
      </c>
      <c r="R581" s="125">
        <v>46099</v>
      </c>
    </row>
    <row r="582" spans="1:18" ht="15" customHeight="1" x14ac:dyDescent="0.35">
      <c r="A582" s="101" t="s">
        <v>1368</v>
      </c>
      <c r="B582" s="85" t="s">
        <v>1374</v>
      </c>
      <c r="C582" s="121" t="s">
        <v>66</v>
      </c>
      <c r="D582" s="77" t="s">
        <v>1375</v>
      </c>
      <c r="E582" s="131" t="s">
        <v>1376</v>
      </c>
      <c r="F582" s="78" t="s">
        <v>25</v>
      </c>
      <c r="G582" s="146">
        <v>40869.660000000003</v>
      </c>
      <c r="H582" s="14" t="s">
        <v>726</v>
      </c>
      <c r="I582" s="122" t="s">
        <v>27</v>
      </c>
      <c r="J582" s="122" t="s">
        <v>27</v>
      </c>
      <c r="K582" s="122" t="s">
        <v>27</v>
      </c>
      <c r="L582" s="122" t="s">
        <v>27</v>
      </c>
      <c r="M582" s="6" t="s">
        <v>28</v>
      </c>
      <c r="N582" s="122"/>
      <c r="O582" s="122" t="s">
        <v>756</v>
      </c>
      <c r="P582" s="6" t="s">
        <v>774</v>
      </c>
      <c r="Q582" s="83">
        <f t="shared" si="9"/>
        <v>2025</v>
      </c>
      <c r="R582" s="125">
        <v>46099</v>
      </c>
    </row>
    <row r="583" spans="1:18" ht="15" customHeight="1" x14ac:dyDescent="0.35">
      <c r="A583" s="101" t="s">
        <v>1162</v>
      </c>
      <c r="B583" s="85" t="s">
        <v>1163</v>
      </c>
      <c r="C583" s="76" t="s">
        <v>37</v>
      </c>
      <c r="D583" s="77" t="s">
        <v>766</v>
      </c>
      <c r="E583" s="131" t="s">
        <v>1164</v>
      </c>
      <c r="F583" s="6" t="s">
        <v>25</v>
      </c>
      <c r="G583" s="146">
        <v>246163</v>
      </c>
      <c r="H583" s="14" t="s">
        <v>726</v>
      </c>
      <c r="I583" s="122" t="s">
        <v>27</v>
      </c>
      <c r="J583" s="122" t="s">
        <v>27</v>
      </c>
      <c r="K583" s="122" t="s">
        <v>27</v>
      </c>
      <c r="L583" s="122" t="s">
        <v>27</v>
      </c>
      <c r="M583" s="6" t="s">
        <v>28</v>
      </c>
      <c r="N583" s="122"/>
      <c r="O583" s="122" t="s">
        <v>756</v>
      </c>
      <c r="P583" s="6" t="s">
        <v>1377</v>
      </c>
      <c r="Q583" s="83">
        <f t="shared" si="9"/>
        <v>2024</v>
      </c>
      <c r="R583" s="125">
        <v>46104</v>
      </c>
    </row>
    <row r="584" spans="1:18" ht="15" hidden="1" customHeight="1" x14ac:dyDescent="0.35">
      <c r="A584" s="101" t="s">
        <v>1252</v>
      </c>
      <c r="B584" s="85" t="s">
        <v>314</v>
      </c>
      <c r="C584" s="121" t="s">
        <v>48</v>
      </c>
      <c r="D584" s="77">
        <v>7</v>
      </c>
      <c r="E584" s="131" t="s">
        <v>1346</v>
      </c>
      <c r="F584" s="78" t="s">
        <v>25</v>
      </c>
      <c r="G584" s="146">
        <v>180402</v>
      </c>
      <c r="H584" s="14" t="s">
        <v>749</v>
      </c>
      <c r="I584" s="162"/>
      <c r="J584" s="162"/>
      <c r="K584" s="162"/>
      <c r="L584" s="162"/>
      <c r="M584" s="162"/>
      <c r="N584" s="162"/>
      <c r="O584" s="122" t="s">
        <v>664</v>
      </c>
      <c r="P584" s="22"/>
      <c r="Q584" s="83">
        <f t="shared" si="9"/>
        <v>2024</v>
      </c>
      <c r="R584" s="106"/>
    </row>
    <row r="585" spans="1:18" ht="15" hidden="1" customHeight="1" x14ac:dyDescent="0.35">
      <c r="A585" s="101" t="s">
        <v>1317</v>
      </c>
      <c r="B585" s="85" t="s">
        <v>110</v>
      </c>
      <c r="C585" s="119" t="s">
        <v>23</v>
      </c>
      <c r="D585" s="77">
        <v>1</v>
      </c>
      <c r="E585" s="131" t="s">
        <v>1378</v>
      </c>
      <c r="F585" s="6" t="s">
        <v>25</v>
      </c>
      <c r="G585" s="146">
        <v>2430000</v>
      </c>
      <c r="H585" s="121" t="s">
        <v>663</v>
      </c>
      <c r="I585" s="162"/>
      <c r="J585" s="162"/>
      <c r="K585" s="162"/>
      <c r="L585" s="162"/>
      <c r="M585" s="162"/>
      <c r="N585" s="162"/>
      <c r="O585" s="122" t="s">
        <v>664</v>
      </c>
      <c r="P585" s="22"/>
      <c r="Q585" s="83">
        <f t="shared" si="9"/>
        <v>2025</v>
      </c>
      <c r="R585" s="106"/>
    </row>
    <row r="586" spans="1:18" ht="15" hidden="1" customHeight="1" x14ac:dyDescent="0.35">
      <c r="A586" s="101" t="s">
        <v>1114</v>
      </c>
      <c r="B586" s="85" t="s">
        <v>426</v>
      </c>
      <c r="C586" s="76" t="s">
        <v>37</v>
      </c>
      <c r="D586" s="77" t="s">
        <v>1379</v>
      </c>
      <c r="E586" s="131" t="s">
        <v>1380</v>
      </c>
      <c r="F586" s="6" t="s">
        <v>25</v>
      </c>
      <c r="G586" s="146">
        <v>73720</v>
      </c>
      <c r="H586" s="121" t="s">
        <v>663</v>
      </c>
      <c r="I586" s="162"/>
      <c r="J586" s="162"/>
      <c r="K586" s="162"/>
      <c r="L586" s="162"/>
      <c r="M586" s="162"/>
      <c r="N586" s="162"/>
      <c r="O586" s="122" t="s">
        <v>664</v>
      </c>
      <c r="P586" s="22"/>
      <c r="Q586" s="83">
        <f t="shared" si="9"/>
        <v>2023</v>
      </c>
      <c r="R586" s="106"/>
    </row>
    <row r="587" spans="1:18" ht="15" customHeight="1" x14ac:dyDescent="0.35">
      <c r="A587" s="101" t="s">
        <v>888</v>
      </c>
      <c r="B587" s="85" t="s">
        <v>889</v>
      </c>
      <c r="C587" s="76" t="s">
        <v>37</v>
      </c>
      <c r="D587" s="77" t="s">
        <v>673</v>
      </c>
      <c r="E587" s="131" t="s">
        <v>896</v>
      </c>
      <c r="F587" s="78" t="s">
        <v>25</v>
      </c>
      <c r="G587" s="146">
        <v>172000</v>
      </c>
      <c r="H587" s="14" t="s">
        <v>726</v>
      </c>
      <c r="I587" s="122" t="s">
        <v>27</v>
      </c>
      <c r="J587" s="122" t="s">
        <v>27</v>
      </c>
      <c r="K587" s="122" t="s">
        <v>27</v>
      </c>
      <c r="L587" s="122" t="s">
        <v>27</v>
      </c>
      <c r="M587" s="6" t="s">
        <v>28</v>
      </c>
      <c r="N587" s="122"/>
      <c r="O587" s="122" t="s">
        <v>756</v>
      </c>
      <c r="P587" s="6" t="s">
        <v>871</v>
      </c>
      <c r="Q587" s="83">
        <f t="shared" si="9"/>
        <v>2021</v>
      </c>
      <c r="R587" s="125">
        <v>46114</v>
      </c>
    </row>
    <row r="588" spans="1:18" ht="15" customHeight="1" x14ac:dyDescent="0.35">
      <c r="A588" s="101" t="s">
        <v>1043</v>
      </c>
      <c r="B588" s="85" t="s">
        <v>1044</v>
      </c>
      <c r="C588" s="76" t="s">
        <v>42</v>
      </c>
      <c r="D588" s="77">
        <v>6</v>
      </c>
      <c r="E588" s="131" t="s">
        <v>1381</v>
      </c>
      <c r="F588" s="78" t="s">
        <v>25</v>
      </c>
      <c r="G588" s="146">
        <v>54000</v>
      </c>
      <c r="H588" s="14" t="s">
        <v>726</v>
      </c>
      <c r="I588" s="122" t="s">
        <v>27</v>
      </c>
      <c r="J588" s="122" t="s">
        <v>27</v>
      </c>
      <c r="K588" s="122" t="s">
        <v>27</v>
      </c>
      <c r="L588" s="6" t="s">
        <v>28</v>
      </c>
      <c r="M588" s="122"/>
      <c r="N588" s="122"/>
      <c r="O588" s="122" t="s">
        <v>756</v>
      </c>
      <c r="P588" s="6" t="s">
        <v>871</v>
      </c>
      <c r="Q588" s="83">
        <f t="shared" si="9"/>
        <v>2022</v>
      </c>
      <c r="R588" s="125">
        <v>46112</v>
      </c>
    </row>
    <row r="589" spans="1:18" ht="15" customHeight="1" x14ac:dyDescent="0.35">
      <c r="A589" s="101" t="s">
        <v>794</v>
      </c>
      <c r="B589" s="88" t="s">
        <v>792</v>
      </c>
      <c r="C589" s="119" t="s">
        <v>23</v>
      </c>
      <c r="D589" s="121" t="s">
        <v>735</v>
      </c>
      <c r="E589" s="131" t="s">
        <v>1364</v>
      </c>
      <c r="F589" s="90" t="s">
        <v>25</v>
      </c>
      <c r="G589" s="143">
        <v>46750</v>
      </c>
      <c r="H589" s="119" t="s">
        <v>1382</v>
      </c>
      <c r="I589" s="166" t="s">
        <v>27</v>
      </c>
      <c r="J589" s="166" t="s">
        <v>27</v>
      </c>
      <c r="K589" s="166" t="s">
        <v>27</v>
      </c>
      <c r="L589" s="122" t="s">
        <v>27</v>
      </c>
      <c r="M589" s="122" t="s">
        <v>27</v>
      </c>
      <c r="N589" s="6" t="s">
        <v>28</v>
      </c>
      <c r="O589" s="122" t="s">
        <v>756</v>
      </c>
      <c r="P589" s="164" t="s">
        <v>757</v>
      </c>
      <c r="Q589" s="83">
        <f t="shared" si="9"/>
        <v>2020</v>
      </c>
      <c r="R589" s="125">
        <v>46132</v>
      </c>
    </row>
    <row r="590" spans="1:18" ht="15" hidden="1" customHeight="1" x14ac:dyDescent="0.35">
      <c r="A590" s="101" t="s">
        <v>387</v>
      </c>
      <c r="B590" s="85" t="s">
        <v>1339</v>
      </c>
      <c r="C590" s="76" t="s">
        <v>66</v>
      </c>
      <c r="D590" s="77" t="s">
        <v>1383</v>
      </c>
      <c r="E590" s="131" t="s">
        <v>1160</v>
      </c>
      <c r="F590" s="6" t="s">
        <v>25</v>
      </c>
      <c r="G590" s="146">
        <v>965431</v>
      </c>
      <c r="H590" s="121" t="s">
        <v>663</v>
      </c>
      <c r="I590" s="162"/>
      <c r="J590" s="162"/>
      <c r="K590" s="162"/>
      <c r="L590" s="162"/>
      <c r="M590" s="162"/>
      <c r="N590" s="162"/>
      <c r="O590" s="122" t="s">
        <v>664</v>
      </c>
      <c r="P590" s="22"/>
      <c r="Q590" s="83">
        <f t="shared" si="9"/>
        <v>2024</v>
      </c>
      <c r="R590" s="106"/>
    </row>
    <row r="591" spans="1:18" ht="15" hidden="1" customHeight="1" x14ac:dyDescent="0.35">
      <c r="A591" s="101" t="s">
        <v>1207</v>
      </c>
      <c r="B591" s="85" t="s">
        <v>1208</v>
      </c>
      <c r="C591" s="76" t="s">
        <v>37</v>
      </c>
      <c r="D591" s="77">
        <v>3</v>
      </c>
      <c r="E591" s="131" t="s">
        <v>1384</v>
      </c>
      <c r="F591" s="6" t="s">
        <v>44</v>
      </c>
      <c r="G591" s="146">
        <v>700000</v>
      </c>
      <c r="H591" s="121" t="s">
        <v>663</v>
      </c>
      <c r="I591" s="162"/>
      <c r="J591" s="162"/>
      <c r="K591" s="162"/>
      <c r="L591" s="162"/>
      <c r="M591" s="162"/>
      <c r="N591" s="162"/>
      <c r="O591" s="122" t="s">
        <v>664</v>
      </c>
      <c r="P591" s="22"/>
      <c r="Q591" s="83">
        <f t="shared" si="9"/>
        <v>2024</v>
      </c>
      <c r="R591" s="106"/>
    </row>
    <row r="592" spans="1:18" ht="15" hidden="1" customHeight="1" x14ac:dyDescent="0.35">
      <c r="A592" s="101" t="s">
        <v>1114</v>
      </c>
      <c r="B592" s="85" t="s">
        <v>426</v>
      </c>
      <c r="C592" s="76" t="s">
        <v>37</v>
      </c>
      <c r="D592" s="77" t="s">
        <v>1385</v>
      </c>
      <c r="E592" s="120" t="s">
        <v>1136</v>
      </c>
      <c r="F592" s="6" t="s">
        <v>25</v>
      </c>
      <c r="G592" s="146">
        <v>9426876.0199999996</v>
      </c>
      <c r="H592" s="121" t="s">
        <v>663</v>
      </c>
      <c r="I592" s="162"/>
      <c r="J592" s="162"/>
      <c r="K592" s="162"/>
      <c r="L592" s="162"/>
      <c r="M592" s="162"/>
      <c r="N592" s="162"/>
      <c r="O592" s="122" t="s">
        <v>664</v>
      </c>
      <c r="P592" s="22"/>
      <c r="Q592" s="83">
        <f t="shared" si="9"/>
        <v>2023</v>
      </c>
      <c r="R592" s="106"/>
    </row>
    <row r="593" spans="1:18" ht="15" customHeight="1" x14ac:dyDescent="0.35">
      <c r="A593" s="101" t="s">
        <v>1386</v>
      </c>
      <c r="B593" s="88" t="s">
        <v>1387</v>
      </c>
      <c r="C593" s="119" t="s">
        <v>23</v>
      </c>
      <c r="D593" s="119">
        <v>0</v>
      </c>
      <c r="E593" s="131" t="s">
        <v>1388</v>
      </c>
      <c r="F593" s="90" t="s">
        <v>25</v>
      </c>
      <c r="G593" s="147">
        <v>578145</v>
      </c>
      <c r="H593" s="119"/>
      <c r="I593" s="166" t="s">
        <v>27</v>
      </c>
      <c r="J593" s="166" t="s">
        <v>27</v>
      </c>
      <c r="K593" s="166" t="s">
        <v>27</v>
      </c>
      <c r="L593" s="166" t="s">
        <v>27</v>
      </c>
      <c r="M593" s="166" t="s">
        <v>27</v>
      </c>
      <c r="N593" s="6" t="s">
        <v>28</v>
      </c>
      <c r="O593" s="136" t="s">
        <v>756</v>
      </c>
      <c r="P593" s="164" t="s">
        <v>1389</v>
      </c>
      <c r="Q593" s="83">
        <f t="shared" si="9"/>
        <v>2025</v>
      </c>
      <c r="R593" s="128">
        <v>46107</v>
      </c>
    </row>
    <row r="594" spans="1:18" ht="15" hidden="1" customHeight="1" x14ac:dyDescent="0.35">
      <c r="A594" s="101" t="s">
        <v>95</v>
      </c>
      <c r="B594" s="85" t="s">
        <v>1323</v>
      </c>
      <c r="C594" s="119" t="s">
        <v>82</v>
      </c>
      <c r="D594" s="77" t="s">
        <v>1356</v>
      </c>
      <c r="E594" s="11" t="s">
        <v>42</v>
      </c>
      <c r="F594" s="20" t="s">
        <v>53</v>
      </c>
      <c r="G594" s="146">
        <v>30000</v>
      </c>
      <c r="H594" s="14" t="s">
        <v>709</v>
      </c>
      <c r="I594" s="122" t="s">
        <v>27</v>
      </c>
      <c r="J594" s="122" t="s">
        <v>27</v>
      </c>
      <c r="K594" s="122" t="s">
        <v>27</v>
      </c>
      <c r="L594" s="122" t="s">
        <v>27</v>
      </c>
      <c r="M594" s="122" t="s">
        <v>27</v>
      </c>
      <c r="N594" s="122" t="s">
        <v>27</v>
      </c>
      <c r="O594" s="137" t="s">
        <v>745</v>
      </c>
      <c r="P594" s="22"/>
      <c r="Q594" s="83">
        <f t="shared" si="9"/>
        <v>2026</v>
      </c>
      <c r="R594" s="106"/>
    </row>
    <row r="595" spans="1:18" ht="15" hidden="1" customHeight="1" x14ac:dyDescent="0.35">
      <c r="A595" s="101" t="s">
        <v>1386</v>
      </c>
      <c r="B595" s="85" t="s">
        <v>1390</v>
      </c>
      <c r="C595" s="119" t="s">
        <v>23</v>
      </c>
      <c r="D595" s="77" t="s">
        <v>1391</v>
      </c>
      <c r="E595" s="11" t="s">
        <v>1392</v>
      </c>
      <c r="F595" s="6" t="s">
        <v>25</v>
      </c>
      <c r="G595" s="146">
        <v>549238</v>
      </c>
      <c r="H595" s="121" t="s">
        <v>663</v>
      </c>
      <c r="I595" s="162"/>
      <c r="J595" s="162"/>
      <c r="K595" s="162"/>
      <c r="L595" s="162"/>
      <c r="M595" s="162"/>
      <c r="N595" s="162"/>
      <c r="O595" s="122" t="s">
        <v>664</v>
      </c>
      <c r="P595" s="22"/>
      <c r="Q595" s="83">
        <f t="shared" si="9"/>
        <v>2025</v>
      </c>
      <c r="R595" s="106"/>
    </row>
    <row r="596" spans="1:18" ht="15" hidden="1" customHeight="1" x14ac:dyDescent="0.35">
      <c r="A596" s="101" t="s">
        <v>1317</v>
      </c>
      <c r="B596" s="85" t="s">
        <v>110</v>
      </c>
      <c r="C596" s="119" t="s">
        <v>23</v>
      </c>
      <c r="D596" s="77">
        <v>1</v>
      </c>
      <c r="E596" s="11" t="s">
        <v>1393</v>
      </c>
      <c r="F596" s="6" t="s">
        <v>25</v>
      </c>
      <c r="G596" s="146">
        <v>2430000</v>
      </c>
      <c r="H596" s="14" t="s">
        <v>749</v>
      </c>
      <c r="I596" s="162"/>
      <c r="J596" s="162"/>
      <c r="K596" s="162"/>
      <c r="L596" s="162"/>
      <c r="M596" s="162"/>
      <c r="N596" s="162"/>
      <c r="O596" s="122" t="s">
        <v>664</v>
      </c>
      <c r="P596" s="22"/>
      <c r="Q596" s="83">
        <f t="shared" si="9"/>
        <v>2025</v>
      </c>
      <c r="R596" s="106"/>
    </row>
    <row r="597" spans="1:18" ht="15" hidden="1" customHeight="1" x14ac:dyDescent="0.35">
      <c r="A597" s="101" t="s">
        <v>1317</v>
      </c>
      <c r="B597" s="85" t="s">
        <v>110</v>
      </c>
      <c r="C597" s="119" t="s">
        <v>23</v>
      </c>
      <c r="D597" s="77" t="s">
        <v>1330</v>
      </c>
      <c r="E597" s="11" t="s">
        <v>1393</v>
      </c>
      <c r="F597" s="6" t="s">
        <v>25</v>
      </c>
      <c r="G597" s="146">
        <v>2253000</v>
      </c>
      <c r="H597" s="14" t="s">
        <v>709</v>
      </c>
      <c r="I597" s="163" t="s">
        <v>27</v>
      </c>
      <c r="J597" s="163" t="s">
        <v>27</v>
      </c>
      <c r="K597" s="163" t="s">
        <v>27</v>
      </c>
      <c r="L597" s="163" t="s">
        <v>27</v>
      </c>
      <c r="M597" s="163" t="s">
        <v>27</v>
      </c>
      <c r="N597" s="163" t="s">
        <v>27</v>
      </c>
      <c r="O597" s="122" t="s">
        <v>709</v>
      </c>
      <c r="P597" s="22" t="s">
        <v>62</v>
      </c>
      <c r="Q597" s="83">
        <f t="shared" si="9"/>
        <v>2025</v>
      </c>
      <c r="R597" s="106"/>
    </row>
    <row r="598" spans="1:18" ht="15" hidden="1" customHeight="1" x14ac:dyDescent="0.35">
      <c r="A598" s="101" t="s">
        <v>1386</v>
      </c>
      <c r="B598" s="85" t="s">
        <v>1390</v>
      </c>
      <c r="C598" s="119" t="s">
        <v>23</v>
      </c>
      <c r="D598" s="77">
        <v>2</v>
      </c>
      <c r="E598" s="11" t="s">
        <v>1394</v>
      </c>
      <c r="F598" s="6" t="s">
        <v>25</v>
      </c>
      <c r="G598" s="146">
        <v>874000</v>
      </c>
      <c r="H598" s="121" t="s">
        <v>663</v>
      </c>
      <c r="I598" s="162"/>
      <c r="J598" s="162"/>
      <c r="K598" s="162"/>
      <c r="L598" s="162"/>
      <c r="M598" s="162"/>
      <c r="N598" s="162"/>
      <c r="O598" s="122" t="s">
        <v>664</v>
      </c>
      <c r="P598" s="22"/>
      <c r="Q598" s="83">
        <f t="shared" si="9"/>
        <v>2025</v>
      </c>
      <c r="R598" s="106"/>
    </row>
    <row r="599" spans="1:18" ht="15" customHeight="1" x14ac:dyDescent="0.35">
      <c r="A599" s="101" t="s">
        <v>854</v>
      </c>
      <c r="B599" s="88" t="s">
        <v>855</v>
      </c>
      <c r="C599" s="119" t="s">
        <v>82</v>
      </c>
      <c r="D599" s="121">
        <v>10</v>
      </c>
      <c r="E599" s="131" t="s">
        <v>1395</v>
      </c>
      <c r="F599" s="90" t="s">
        <v>44</v>
      </c>
      <c r="G599" s="143">
        <v>97750</v>
      </c>
      <c r="H599" s="119" t="s">
        <v>781</v>
      </c>
      <c r="I599" s="171" t="s">
        <v>27</v>
      </c>
      <c r="J599" s="171" t="s">
        <v>27</v>
      </c>
      <c r="K599" s="171" t="s">
        <v>27</v>
      </c>
      <c r="L599" s="171" t="s">
        <v>27</v>
      </c>
      <c r="M599" s="136"/>
      <c r="N599" s="6" t="s">
        <v>28</v>
      </c>
      <c r="O599" s="136" t="s">
        <v>756</v>
      </c>
      <c r="P599" s="164" t="s">
        <v>1389</v>
      </c>
      <c r="Q599" s="83">
        <f t="shared" si="9"/>
        <v>2021</v>
      </c>
      <c r="R599" s="127">
        <v>45665</v>
      </c>
    </row>
    <row r="600" spans="1:18" ht="15" customHeight="1" x14ac:dyDescent="0.35">
      <c r="A600" s="101" t="s">
        <v>1252</v>
      </c>
      <c r="B600" s="85" t="s">
        <v>314</v>
      </c>
      <c r="C600" s="121" t="s">
        <v>48</v>
      </c>
      <c r="D600" s="77" t="s">
        <v>1396</v>
      </c>
      <c r="E600" s="131" t="s">
        <v>1340</v>
      </c>
      <c r="F600" s="78" t="s">
        <v>25</v>
      </c>
      <c r="G600" s="146">
        <v>112288</v>
      </c>
      <c r="H600" s="14" t="s">
        <v>781</v>
      </c>
      <c r="I600" s="122" t="s">
        <v>27</v>
      </c>
      <c r="J600" s="122" t="s">
        <v>27</v>
      </c>
      <c r="K600" s="122" t="s">
        <v>27</v>
      </c>
      <c r="L600" s="6" t="s">
        <v>28</v>
      </c>
      <c r="M600" s="122"/>
      <c r="N600" s="122"/>
      <c r="O600" s="122" t="s">
        <v>756</v>
      </c>
      <c r="P600" s="6" t="s">
        <v>1342</v>
      </c>
      <c r="Q600" s="83">
        <f t="shared" si="9"/>
        <v>2024</v>
      </c>
      <c r="R600" s="127">
        <v>46135</v>
      </c>
    </row>
    <row r="601" spans="1:18" ht="15" customHeight="1" x14ac:dyDescent="0.35">
      <c r="A601" s="101" t="s">
        <v>1252</v>
      </c>
      <c r="B601" s="85" t="s">
        <v>314</v>
      </c>
      <c r="C601" s="121" t="s">
        <v>48</v>
      </c>
      <c r="D601" s="77" t="s">
        <v>1329</v>
      </c>
      <c r="E601" s="131" t="s">
        <v>1362</v>
      </c>
      <c r="F601" s="6" t="s">
        <v>25</v>
      </c>
      <c r="G601" s="146">
        <v>198900</v>
      </c>
      <c r="H601" s="14" t="s">
        <v>781</v>
      </c>
      <c r="I601" s="122" t="s">
        <v>27</v>
      </c>
      <c r="J601" s="122" t="s">
        <v>27</v>
      </c>
      <c r="K601" s="122" t="s">
        <v>27</v>
      </c>
      <c r="L601" s="6" t="s">
        <v>28</v>
      </c>
      <c r="M601" s="122"/>
      <c r="N601" s="122"/>
      <c r="O601" s="122" t="s">
        <v>756</v>
      </c>
      <c r="P601" s="6" t="s">
        <v>1342</v>
      </c>
      <c r="Q601" s="83">
        <f t="shared" si="9"/>
        <v>2024</v>
      </c>
      <c r="R601" s="127">
        <v>46135</v>
      </c>
    </row>
    <row r="602" spans="1:18" ht="15" customHeight="1" x14ac:dyDescent="0.35">
      <c r="A602" s="102" t="s">
        <v>387</v>
      </c>
      <c r="B602" s="91" t="s">
        <v>1156</v>
      </c>
      <c r="C602" s="31" t="s">
        <v>66</v>
      </c>
      <c r="D602" s="31" t="s">
        <v>1397</v>
      </c>
      <c r="E602" s="120" t="s">
        <v>1398</v>
      </c>
      <c r="F602" s="6" t="s">
        <v>25</v>
      </c>
      <c r="G602" s="146">
        <v>923431</v>
      </c>
      <c r="H602" s="14" t="s">
        <v>726</v>
      </c>
      <c r="I602" s="122" t="s">
        <v>27</v>
      </c>
      <c r="J602" s="122" t="s">
        <v>27</v>
      </c>
      <c r="K602" s="122" t="s">
        <v>27</v>
      </c>
      <c r="L602" s="122" t="s">
        <v>27</v>
      </c>
      <c r="M602" s="122" t="s">
        <v>27</v>
      </c>
      <c r="N602" s="6" t="s">
        <v>28</v>
      </c>
      <c r="O602" s="122" t="s">
        <v>756</v>
      </c>
      <c r="P602" s="164" t="s">
        <v>1389</v>
      </c>
      <c r="Q602" s="83">
        <f t="shared" si="9"/>
        <v>2024</v>
      </c>
      <c r="R602" s="127">
        <v>46141</v>
      </c>
    </row>
    <row r="603" spans="1:18" ht="15" customHeight="1" x14ac:dyDescent="0.35">
      <c r="A603" s="102" t="s">
        <v>612</v>
      </c>
      <c r="B603" s="91" t="s">
        <v>1399</v>
      </c>
      <c r="C603" s="31" t="s">
        <v>66</v>
      </c>
      <c r="D603" s="31">
        <v>1</v>
      </c>
      <c r="E603" s="120" t="s">
        <v>1400</v>
      </c>
      <c r="F603" s="6" t="s">
        <v>44</v>
      </c>
      <c r="G603" s="146">
        <v>159296</v>
      </c>
      <c r="H603" s="14" t="s">
        <v>726</v>
      </c>
      <c r="I603" s="122" t="s">
        <v>27</v>
      </c>
      <c r="J603" s="122" t="s">
        <v>27</v>
      </c>
      <c r="K603" s="122" t="s">
        <v>27</v>
      </c>
      <c r="L603" s="122" t="s">
        <v>27</v>
      </c>
      <c r="M603" s="122" t="s">
        <v>27</v>
      </c>
      <c r="N603" s="6" t="s">
        <v>28</v>
      </c>
      <c r="O603" s="122" t="s">
        <v>756</v>
      </c>
      <c r="P603" s="164" t="s">
        <v>1389</v>
      </c>
      <c r="Q603" s="83">
        <f t="shared" si="9"/>
        <v>2022</v>
      </c>
      <c r="R603" s="127">
        <v>45960</v>
      </c>
    </row>
    <row r="604" spans="1:18" ht="15" customHeight="1" x14ac:dyDescent="0.35">
      <c r="A604" s="101" t="s">
        <v>1207</v>
      </c>
      <c r="B604" s="85" t="s">
        <v>1208</v>
      </c>
      <c r="C604" s="76" t="s">
        <v>37</v>
      </c>
      <c r="D604" s="77" t="s">
        <v>1401</v>
      </c>
      <c r="E604" s="131" t="s">
        <v>1384</v>
      </c>
      <c r="F604" s="6" t="s">
        <v>44</v>
      </c>
      <c r="G604" s="146">
        <v>500000</v>
      </c>
      <c r="H604" s="14" t="s">
        <v>726</v>
      </c>
      <c r="I604" s="122" t="s">
        <v>27</v>
      </c>
      <c r="J604" s="122" t="s">
        <v>27</v>
      </c>
      <c r="K604" s="122" t="s">
        <v>27</v>
      </c>
      <c r="L604" s="122" t="s">
        <v>27</v>
      </c>
      <c r="M604" s="122" t="s">
        <v>27</v>
      </c>
      <c r="N604" s="6" t="s">
        <v>28</v>
      </c>
      <c r="O604" s="122" t="s">
        <v>756</v>
      </c>
      <c r="P604" s="164" t="s">
        <v>1389</v>
      </c>
      <c r="Q604" s="83">
        <f t="shared" si="9"/>
        <v>2024</v>
      </c>
      <c r="R604" s="127">
        <v>46127</v>
      </c>
    </row>
    <row r="605" spans="1:18" ht="15" customHeight="1" x14ac:dyDescent="0.35">
      <c r="A605" s="101" t="s">
        <v>1181</v>
      </c>
      <c r="B605" s="85" t="s">
        <v>1182</v>
      </c>
      <c r="C605" s="121" t="s">
        <v>48</v>
      </c>
      <c r="D605" s="77">
        <v>13</v>
      </c>
      <c r="E605" s="131" t="s">
        <v>1402</v>
      </c>
      <c r="F605" s="6" t="s">
        <v>25</v>
      </c>
      <c r="G605" s="146">
        <v>150000</v>
      </c>
      <c r="H605" s="14" t="s">
        <v>781</v>
      </c>
      <c r="I605" s="122" t="s">
        <v>27</v>
      </c>
      <c r="J605" s="122" t="s">
        <v>27</v>
      </c>
      <c r="K605" s="122" t="s">
        <v>27</v>
      </c>
      <c r="L605" s="6" t="s">
        <v>28</v>
      </c>
      <c r="M605" s="122"/>
      <c r="N605" s="6"/>
      <c r="O605" s="122" t="s">
        <v>756</v>
      </c>
      <c r="P605" s="6" t="s">
        <v>1342</v>
      </c>
      <c r="Q605" s="83">
        <f t="shared" si="9"/>
        <v>2024</v>
      </c>
      <c r="R605" s="127">
        <v>46111</v>
      </c>
    </row>
    <row r="606" spans="1:18" ht="15" customHeight="1" x14ac:dyDescent="0.35">
      <c r="A606" s="101" t="s">
        <v>791</v>
      </c>
      <c r="B606" s="88" t="s">
        <v>792</v>
      </c>
      <c r="C606" s="119" t="s">
        <v>23</v>
      </c>
      <c r="D606" s="121" t="s">
        <v>1403</v>
      </c>
      <c r="E606" s="131" t="s">
        <v>1404</v>
      </c>
      <c r="F606" s="90" t="s">
        <v>25</v>
      </c>
      <c r="G606" s="143">
        <v>185995</v>
      </c>
      <c r="H606" s="119" t="s">
        <v>1382</v>
      </c>
      <c r="I606" s="122" t="s">
        <v>27</v>
      </c>
      <c r="J606" s="122" t="s">
        <v>27</v>
      </c>
      <c r="K606" s="122" t="s">
        <v>27</v>
      </c>
      <c r="L606" s="122" t="s">
        <v>27</v>
      </c>
      <c r="M606" s="122" t="s">
        <v>27</v>
      </c>
      <c r="N606" s="6" t="s">
        <v>28</v>
      </c>
      <c r="O606" s="122" t="s">
        <v>756</v>
      </c>
      <c r="P606" s="164" t="s">
        <v>757</v>
      </c>
      <c r="Q606" s="83">
        <f t="shared" si="9"/>
        <v>2020</v>
      </c>
      <c r="R606" s="125">
        <v>46139</v>
      </c>
    </row>
    <row r="607" spans="1:18" ht="15" customHeight="1" x14ac:dyDescent="0.35">
      <c r="A607" s="103" t="s">
        <v>1317</v>
      </c>
      <c r="B607" s="88" t="s">
        <v>110</v>
      </c>
      <c r="C607" s="119" t="s">
        <v>23</v>
      </c>
      <c r="D607" s="121">
        <v>1</v>
      </c>
      <c r="E607" s="131" t="s">
        <v>1405</v>
      </c>
      <c r="F607" s="90" t="s">
        <v>25</v>
      </c>
      <c r="G607" s="143">
        <v>125000</v>
      </c>
      <c r="H607" s="119" t="s">
        <v>730</v>
      </c>
      <c r="I607" s="122" t="s">
        <v>27</v>
      </c>
      <c r="J607" s="122" t="s">
        <v>27</v>
      </c>
      <c r="K607" s="122" t="s">
        <v>27</v>
      </c>
      <c r="L607" s="6" t="s">
        <v>28</v>
      </c>
      <c r="M607" s="136"/>
      <c r="N607" s="136"/>
      <c r="O607" s="136" t="s">
        <v>756</v>
      </c>
      <c r="P607" s="134" t="s">
        <v>1335</v>
      </c>
      <c r="Q607" s="83">
        <f t="shared" si="9"/>
        <v>2025</v>
      </c>
      <c r="R607" s="125">
        <v>46182</v>
      </c>
    </row>
    <row r="608" spans="1:18" ht="15" customHeight="1" x14ac:dyDescent="0.35">
      <c r="A608" s="103" t="s">
        <v>221</v>
      </c>
      <c r="B608" s="88" t="s">
        <v>222</v>
      </c>
      <c r="C608" s="119" t="s">
        <v>23</v>
      </c>
      <c r="D608" s="121" t="s">
        <v>1406</v>
      </c>
      <c r="E608" s="131" t="s">
        <v>1407</v>
      </c>
      <c r="F608" s="90" t="s">
        <v>25</v>
      </c>
      <c r="G608" s="143">
        <v>1715507.5</v>
      </c>
      <c r="H608" s="119" t="s">
        <v>730</v>
      </c>
      <c r="I608" s="122" t="s">
        <v>27</v>
      </c>
      <c r="J608" s="122" t="s">
        <v>27</v>
      </c>
      <c r="K608" s="122" t="s">
        <v>27</v>
      </c>
      <c r="L608" s="6" t="s">
        <v>28</v>
      </c>
      <c r="M608" s="136"/>
      <c r="N608" s="136"/>
      <c r="O608" s="136" t="s">
        <v>756</v>
      </c>
      <c r="P608" s="134" t="s">
        <v>1335</v>
      </c>
      <c r="Q608" s="83">
        <f t="shared" si="9"/>
        <v>2025</v>
      </c>
      <c r="R608" s="125">
        <v>46153</v>
      </c>
    </row>
    <row r="609" spans="1:18" ht="15" hidden="1" customHeight="1" x14ac:dyDescent="0.35">
      <c r="A609" s="103" t="s">
        <v>1114</v>
      </c>
      <c r="B609" s="86" t="s">
        <v>1408</v>
      </c>
      <c r="C609" s="76" t="s">
        <v>37</v>
      </c>
      <c r="D609" s="79">
        <v>14</v>
      </c>
      <c r="E609" s="138" t="s">
        <v>1409</v>
      </c>
      <c r="F609" s="6" t="s">
        <v>25</v>
      </c>
      <c r="G609" s="145">
        <v>74691.62</v>
      </c>
      <c r="H609" s="121" t="s">
        <v>663</v>
      </c>
      <c r="I609" s="162"/>
      <c r="J609" s="162"/>
      <c r="K609" s="162"/>
      <c r="L609" s="162"/>
      <c r="M609" s="162"/>
      <c r="N609" s="162"/>
      <c r="O609" s="122" t="s">
        <v>664</v>
      </c>
      <c r="P609" s="22"/>
      <c r="Q609" s="83">
        <f t="shared" si="9"/>
        <v>2023</v>
      </c>
      <c r="R609" s="106"/>
    </row>
    <row r="610" spans="1:18" ht="15" hidden="1" customHeight="1" x14ac:dyDescent="0.35">
      <c r="A610" s="103" t="s">
        <v>1114</v>
      </c>
      <c r="B610" s="86" t="s">
        <v>1408</v>
      </c>
      <c r="C610" s="76" t="s">
        <v>37</v>
      </c>
      <c r="D610" s="79">
        <v>15</v>
      </c>
      <c r="E610" s="138" t="s">
        <v>1410</v>
      </c>
      <c r="F610" s="6" t="s">
        <v>25</v>
      </c>
      <c r="G610" s="145">
        <v>1121342.4099999999</v>
      </c>
      <c r="H610" s="121" t="s">
        <v>663</v>
      </c>
      <c r="I610" s="162"/>
      <c r="J610" s="162"/>
      <c r="K610" s="162"/>
      <c r="L610" s="162"/>
      <c r="M610" s="162"/>
      <c r="N610" s="162"/>
      <c r="O610" s="122" t="s">
        <v>664</v>
      </c>
      <c r="P610" s="22"/>
      <c r="Q610" s="83">
        <f t="shared" si="9"/>
        <v>2023</v>
      </c>
      <c r="R610" s="106"/>
    </row>
    <row r="611" spans="1:18" ht="15" hidden="1" customHeight="1" x14ac:dyDescent="0.35">
      <c r="A611" s="103" t="s">
        <v>1240</v>
      </c>
      <c r="B611" s="86" t="s">
        <v>340</v>
      </c>
      <c r="C611" s="121" t="s">
        <v>48</v>
      </c>
      <c r="D611" s="79">
        <v>5</v>
      </c>
      <c r="E611" s="138" t="s">
        <v>1349</v>
      </c>
      <c r="F611" s="6" t="s">
        <v>25</v>
      </c>
      <c r="G611" s="145">
        <v>18700</v>
      </c>
      <c r="H611" s="92" t="s">
        <v>1382</v>
      </c>
      <c r="I611" s="122" t="s">
        <v>27</v>
      </c>
      <c r="J611" s="122" t="s">
        <v>27</v>
      </c>
      <c r="K611" s="122" t="s">
        <v>27</v>
      </c>
      <c r="L611" s="122" t="s">
        <v>27</v>
      </c>
      <c r="M611" s="122" t="s">
        <v>27</v>
      </c>
      <c r="N611" s="122" t="s">
        <v>27</v>
      </c>
      <c r="O611" s="136" t="s">
        <v>745</v>
      </c>
      <c r="P611" s="22"/>
      <c r="Q611" s="83">
        <f t="shared" si="9"/>
        <v>2024</v>
      </c>
      <c r="R611" s="106"/>
    </row>
    <row r="612" spans="1:18" ht="15" hidden="1" customHeight="1" x14ac:dyDescent="0.35">
      <c r="A612" s="103" t="s">
        <v>1114</v>
      </c>
      <c r="B612" s="86" t="s">
        <v>1408</v>
      </c>
      <c r="C612" s="76" t="s">
        <v>37</v>
      </c>
      <c r="D612" s="79" t="s">
        <v>1411</v>
      </c>
      <c r="E612" s="138" t="s">
        <v>1136</v>
      </c>
      <c r="F612" s="6" t="s">
        <v>25</v>
      </c>
      <c r="G612" s="148">
        <v>4671746.93</v>
      </c>
      <c r="H612" s="121" t="s">
        <v>663</v>
      </c>
      <c r="I612" s="162"/>
      <c r="J612" s="162"/>
      <c r="K612" s="162"/>
      <c r="L612" s="162"/>
      <c r="M612" s="162"/>
      <c r="N612" s="162"/>
      <c r="O612" s="122" t="s">
        <v>664</v>
      </c>
      <c r="P612" s="22"/>
      <c r="Q612" s="83">
        <f t="shared" si="9"/>
        <v>2023</v>
      </c>
      <c r="R612" s="106"/>
    </row>
    <row r="613" spans="1:18" ht="15" hidden="1" customHeight="1" x14ac:dyDescent="0.35">
      <c r="A613" s="103" t="s">
        <v>1114</v>
      </c>
      <c r="B613" s="86" t="s">
        <v>1408</v>
      </c>
      <c r="C613" s="76" t="s">
        <v>37</v>
      </c>
      <c r="D613" s="79" t="s">
        <v>1412</v>
      </c>
      <c r="E613" s="139" t="s">
        <v>1410</v>
      </c>
      <c r="F613" s="6" t="s">
        <v>25</v>
      </c>
      <c r="G613" s="145">
        <v>1341777.25</v>
      </c>
      <c r="H613" s="121" t="s">
        <v>663</v>
      </c>
      <c r="I613" s="162"/>
      <c r="J613" s="162"/>
      <c r="K613" s="162"/>
      <c r="L613" s="162"/>
      <c r="M613" s="162"/>
      <c r="N613" s="162"/>
      <c r="O613" s="122" t="s">
        <v>664</v>
      </c>
      <c r="P613" s="22"/>
      <c r="Q613" s="83">
        <f t="shared" si="9"/>
        <v>2023</v>
      </c>
      <c r="R613" s="106"/>
    </row>
    <row r="614" spans="1:18" ht="15" hidden="1" customHeight="1" x14ac:dyDescent="0.35">
      <c r="A614" s="103" t="s">
        <v>1114</v>
      </c>
      <c r="B614" s="86" t="s">
        <v>1408</v>
      </c>
      <c r="C614" s="76" t="s">
        <v>37</v>
      </c>
      <c r="D614" s="79">
        <v>11</v>
      </c>
      <c r="E614" s="140" t="s">
        <v>1355</v>
      </c>
      <c r="F614" s="78" t="s">
        <v>25</v>
      </c>
      <c r="G614" s="145">
        <v>384712</v>
      </c>
      <c r="H614" s="121" t="s">
        <v>663</v>
      </c>
      <c r="I614" s="162"/>
      <c r="J614" s="162"/>
      <c r="K614" s="162"/>
      <c r="L614" s="162"/>
      <c r="M614" s="162"/>
      <c r="N614" s="162"/>
      <c r="O614" s="122" t="s">
        <v>664</v>
      </c>
      <c r="P614" s="22"/>
      <c r="Q614" s="83">
        <f t="shared" si="9"/>
        <v>2023</v>
      </c>
      <c r="R614" s="106"/>
    </row>
    <row r="615" spans="1:18" ht="15" hidden="1" customHeight="1" x14ac:dyDescent="0.35">
      <c r="A615" s="103" t="s">
        <v>1114</v>
      </c>
      <c r="B615" s="86" t="s">
        <v>1408</v>
      </c>
      <c r="C615" s="76" t="s">
        <v>37</v>
      </c>
      <c r="D615" s="79">
        <v>9</v>
      </c>
      <c r="E615" s="140" t="s">
        <v>1313</v>
      </c>
      <c r="F615" s="78" t="s">
        <v>25</v>
      </c>
      <c r="G615" s="145">
        <v>715529</v>
      </c>
      <c r="H615" s="121" t="s">
        <v>663</v>
      </c>
      <c r="I615" s="162"/>
      <c r="J615" s="162"/>
      <c r="K615" s="162"/>
      <c r="L615" s="162"/>
      <c r="M615" s="162"/>
      <c r="N615" s="162"/>
      <c r="O615" s="122" t="s">
        <v>664</v>
      </c>
      <c r="P615" s="22"/>
      <c r="Q615" s="83">
        <f t="shared" si="9"/>
        <v>2023</v>
      </c>
      <c r="R615" s="106"/>
    </row>
    <row r="616" spans="1:18" ht="15" hidden="1" customHeight="1" x14ac:dyDescent="0.35">
      <c r="A616" s="103" t="s">
        <v>1114</v>
      </c>
      <c r="B616" s="93" t="s">
        <v>426</v>
      </c>
      <c r="C616" s="76" t="s">
        <v>37</v>
      </c>
      <c r="D616" s="79" t="s">
        <v>1413</v>
      </c>
      <c r="E616" s="139" t="s">
        <v>1414</v>
      </c>
      <c r="F616" s="6" t="s">
        <v>25</v>
      </c>
      <c r="G616" s="145">
        <v>286938</v>
      </c>
      <c r="H616" s="121" t="s">
        <v>663</v>
      </c>
      <c r="I616" s="162"/>
      <c r="J616" s="162"/>
      <c r="K616" s="162"/>
      <c r="L616" s="162"/>
      <c r="M616" s="162"/>
      <c r="N616" s="162"/>
      <c r="O616" s="122" t="s">
        <v>664</v>
      </c>
      <c r="P616" s="22"/>
      <c r="Q616" s="83">
        <f t="shared" si="9"/>
        <v>2023</v>
      </c>
      <c r="R616" s="106"/>
    </row>
    <row r="617" spans="1:18" ht="15" hidden="1" customHeight="1" x14ac:dyDescent="0.35">
      <c r="A617" s="103" t="s">
        <v>1114</v>
      </c>
      <c r="B617" s="86" t="s">
        <v>1408</v>
      </c>
      <c r="C617" s="76" t="s">
        <v>37</v>
      </c>
      <c r="D617" s="31" t="s">
        <v>1415</v>
      </c>
      <c r="E617" s="72" t="s">
        <v>1296</v>
      </c>
      <c r="F617" s="6" t="s">
        <v>25</v>
      </c>
      <c r="G617" s="146">
        <v>225554</v>
      </c>
      <c r="H617" s="121" t="s">
        <v>663</v>
      </c>
      <c r="I617" s="162"/>
      <c r="J617" s="162"/>
      <c r="K617" s="162"/>
      <c r="L617" s="162"/>
      <c r="M617" s="162"/>
      <c r="N617" s="162"/>
      <c r="O617" s="122" t="s">
        <v>664</v>
      </c>
      <c r="P617" s="22"/>
      <c r="Q617" s="83">
        <f t="shared" si="9"/>
        <v>2023</v>
      </c>
      <c r="R617" s="106"/>
    </row>
    <row r="618" spans="1:18" ht="15" customHeight="1" x14ac:dyDescent="0.35">
      <c r="A618" s="103" t="s">
        <v>1347</v>
      </c>
      <c r="B618" s="91" t="s">
        <v>1416</v>
      </c>
      <c r="C618" s="121" t="s">
        <v>116</v>
      </c>
      <c r="D618" s="31">
        <v>2</v>
      </c>
      <c r="E618" s="74" t="s">
        <v>807</v>
      </c>
      <c r="F618" s="6" t="s">
        <v>25</v>
      </c>
      <c r="G618" s="146">
        <v>30000</v>
      </c>
      <c r="H618" s="92" t="s">
        <v>1417</v>
      </c>
      <c r="I618" s="122" t="s">
        <v>27</v>
      </c>
      <c r="J618" s="122" t="s">
        <v>27</v>
      </c>
      <c r="K618" s="122" t="s">
        <v>27</v>
      </c>
      <c r="L618" s="6" t="s">
        <v>28</v>
      </c>
      <c r="M618" s="136"/>
      <c r="N618" s="136"/>
      <c r="O618" s="136" t="s">
        <v>756</v>
      </c>
      <c r="P618" s="164" t="s">
        <v>1389</v>
      </c>
      <c r="Q618" s="83">
        <f t="shared" si="9"/>
        <v>2025</v>
      </c>
      <c r="R618" s="125">
        <v>46160</v>
      </c>
    </row>
    <row r="619" spans="1:18" ht="15" customHeight="1" x14ac:dyDescent="0.35">
      <c r="A619" s="103" t="s">
        <v>1368</v>
      </c>
      <c r="B619" s="91" t="s">
        <v>163</v>
      </c>
      <c r="C619" s="76" t="s">
        <v>66</v>
      </c>
      <c r="D619" s="31" t="s">
        <v>1418</v>
      </c>
      <c r="E619" s="74" t="s">
        <v>1419</v>
      </c>
      <c r="F619" s="6" t="s">
        <v>25</v>
      </c>
      <c r="G619" s="146">
        <v>39600</v>
      </c>
      <c r="H619" s="92" t="s">
        <v>726</v>
      </c>
      <c r="I619" s="122" t="s">
        <v>27</v>
      </c>
      <c r="J619" s="122" t="s">
        <v>27</v>
      </c>
      <c r="K619" s="122" t="s">
        <v>27</v>
      </c>
      <c r="L619" s="6" t="s">
        <v>28</v>
      </c>
      <c r="M619" s="136"/>
      <c r="N619" s="136"/>
      <c r="O619" s="136" t="s">
        <v>756</v>
      </c>
      <c r="P619" s="164" t="s">
        <v>1389</v>
      </c>
      <c r="Q619" s="83">
        <f t="shared" si="9"/>
        <v>2025</v>
      </c>
      <c r="R619" s="125">
        <v>46163</v>
      </c>
    </row>
    <row r="620" spans="1:18" ht="15" customHeight="1" x14ac:dyDescent="0.35">
      <c r="A620" s="103" t="s">
        <v>1114</v>
      </c>
      <c r="B620" s="91" t="s">
        <v>426</v>
      </c>
      <c r="C620" s="76" t="s">
        <v>37</v>
      </c>
      <c r="D620" s="31" t="s">
        <v>1415</v>
      </c>
      <c r="E620" s="72" t="s">
        <v>1296</v>
      </c>
      <c r="F620" s="6" t="s">
        <v>25</v>
      </c>
      <c r="G620" s="146">
        <v>225554</v>
      </c>
      <c r="H620" s="92" t="s">
        <v>1417</v>
      </c>
      <c r="I620" s="122" t="s">
        <v>27</v>
      </c>
      <c r="J620" s="122" t="s">
        <v>27</v>
      </c>
      <c r="K620" s="122" t="s">
        <v>27</v>
      </c>
      <c r="L620" s="6" t="s">
        <v>28</v>
      </c>
      <c r="M620" s="136"/>
      <c r="N620" s="136"/>
      <c r="O620" s="136" t="s">
        <v>756</v>
      </c>
      <c r="P620" s="164" t="s">
        <v>1389</v>
      </c>
      <c r="Q620" s="83">
        <f t="shared" si="9"/>
        <v>2023</v>
      </c>
      <c r="R620" s="125">
        <v>46164</v>
      </c>
    </row>
    <row r="621" spans="1:18" ht="15" customHeight="1" x14ac:dyDescent="0.35">
      <c r="A621" s="103" t="s">
        <v>1114</v>
      </c>
      <c r="B621" s="86" t="s">
        <v>1408</v>
      </c>
      <c r="C621" s="76" t="s">
        <v>37</v>
      </c>
      <c r="D621" s="31" t="s">
        <v>1420</v>
      </c>
      <c r="E621" s="72" t="s">
        <v>1136</v>
      </c>
      <c r="F621" s="6" t="s">
        <v>25</v>
      </c>
      <c r="G621" s="146">
        <v>9426876.0199999996</v>
      </c>
      <c r="H621" s="92" t="s">
        <v>1417</v>
      </c>
      <c r="I621" s="122" t="s">
        <v>27</v>
      </c>
      <c r="J621" s="122" t="s">
        <v>27</v>
      </c>
      <c r="K621" s="122" t="s">
        <v>27</v>
      </c>
      <c r="L621" s="6" t="s">
        <v>28</v>
      </c>
      <c r="M621" s="136"/>
      <c r="N621" s="136"/>
      <c r="O621" s="136" t="s">
        <v>756</v>
      </c>
      <c r="P621" s="164" t="s">
        <v>1389</v>
      </c>
      <c r="Q621" s="83">
        <f t="shared" si="9"/>
        <v>2023</v>
      </c>
      <c r="R621" s="125">
        <v>46174</v>
      </c>
    </row>
    <row r="622" spans="1:18" ht="15" customHeight="1" x14ac:dyDescent="0.35">
      <c r="A622" s="103" t="s">
        <v>1114</v>
      </c>
      <c r="B622" s="91" t="s">
        <v>426</v>
      </c>
      <c r="C622" s="76" t="s">
        <v>37</v>
      </c>
      <c r="D622" s="31" t="s">
        <v>1421</v>
      </c>
      <c r="E622" s="72" t="s">
        <v>1138</v>
      </c>
      <c r="F622" s="6" t="s">
        <v>25</v>
      </c>
      <c r="G622" s="146">
        <v>508466.7</v>
      </c>
      <c r="H622" s="92" t="s">
        <v>1417</v>
      </c>
      <c r="I622" s="122" t="s">
        <v>27</v>
      </c>
      <c r="J622" s="122" t="s">
        <v>27</v>
      </c>
      <c r="K622" s="122" t="s">
        <v>27</v>
      </c>
      <c r="L622" s="6" t="s">
        <v>28</v>
      </c>
      <c r="M622" s="136"/>
      <c r="N622" s="136"/>
      <c r="O622" s="136" t="s">
        <v>756</v>
      </c>
      <c r="P622" s="164" t="s">
        <v>1389</v>
      </c>
      <c r="Q622" s="83">
        <f t="shared" si="9"/>
        <v>2023</v>
      </c>
      <c r="R622" s="125">
        <v>46174</v>
      </c>
    </row>
    <row r="623" spans="1:18" ht="15" hidden="1" customHeight="1" x14ac:dyDescent="0.35">
      <c r="A623" s="103" t="s">
        <v>1114</v>
      </c>
      <c r="B623" s="86" t="s">
        <v>1408</v>
      </c>
      <c r="C623" s="76" t="s">
        <v>37</v>
      </c>
      <c r="D623" s="31" t="s">
        <v>1298</v>
      </c>
      <c r="E623" s="72" t="s">
        <v>1355</v>
      </c>
      <c r="F623" s="6" t="s">
        <v>25</v>
      </c>
      <c r="G623" s="146">
        <v>382068</v>
      </c>
      <c r="H623" s="121" t="s">
        <v>663</v>
      </c>
      <c r="I623" s="162"/>
      <c r="J623" s="162"/>
      <c r="K623" s="162"/>
      <c r="L623" s="162"/>
      <c r="M623" s="162"/>
      <c r="N623" s="162"/>
      <c r="O623" s="122" t="s">
        <v>664</v>
      </c>
      <c r="P623" s="22"/>
      <c r="Q623" s="83">
        <f t="shared" si="9"/>
        <v>2023</v>
      </c>
      <c r="R623" s="106"/>
    </row>
    <row r="624" spans="1:18" ht="15" hidden="1" customHeight="1" x14ac:dyDescent="0.35">
      <c r="A624" s="103" t="s">
        <v>1114</v>
      </c>
      <c r="B624" s="86" t="s">
        <v>1408</v>
      </c>
      <c r="C624" s="76" t="s">
        <v>37</v>
      </c>
      <c r="D624" s="31" t="s">
        <v>1422</v>
      </c>
      <c r="E624" s="72" t="s">
        <v>1410</v>
      </c>
      <c r="F624" s="6" t="s">
        <v>25</v>
      </c>
      <c r="G624" s="146">
        <v>1206102</v>
      </c>
      <c r="H624" s="121" t="s">
        <v>663</v>
      </c>
      <c r="I624" s="162"/>
      <c r="J624" s="162"/>
      <c r="K624" s="162"/>
      <c r="L624" s="162"/>
      <c r="M624" s="162"/>
      <c r="N624" s="162"/>
      <c r="O624" s="122" t="s">
        <v>664</v>
      </c>
      <c r="P624" s="22"/>
      <c r="Q624" s="83">
        <f t="shared" si="9"/>
        <v>2023</v>
      </c>
      <c r="R624" s="106"/>
    </row>
    <row r="625" spans="1:18" ht="15" customHeight="1" x14ac:dyDescent="0.35">
      <c r="A625" s="103" t="s">
        <v>1114</v>
      </c>
      <c r="B625" s="86" t="s">
        <v>1408</v>
      </c>
      <c r="C625" s="76" t="s">
        <v>37</v>
      </c>
      <c r="D625" s="31" t="s">
        <v>1423</v>
      </c>
      <c r="E625" s="72" t="s">
        <v>1313</v>
      </c>
      <c r="F625" s="6" t="s">
        <v>25</v>
      </c>
      <c r="G625" s="146">
        <v>610480.77</v>
      </c>
      <c r="H625" s="92" t="s">
        <v>1417</v>
      </c>
      <c r="I625" s="122" t="s">
        <v>27</v>
      </c>
      <c r="J625" s="122" t="s">
        <v>27</v>
      </c>
      <c r="K625" s="122" t="s">
        <v>27</v>
      </c>
      <c r="L625" s="6" t="s">
        <v>28</v>
      </c>
      <c r="M625" s="136"/>
      <c r="N625" s="136"/>
      <c r="O625" s="136" t="s">
        <v>756</v>
      </c>
      <c r="P625" s="164" t="s">
        <v>1389</v>
      </c>
      <c r="Q625" s="83">
        <f t="shared" si="9"/>
        <v>2023</v>
      </c>
      <c r="R625" s="125">
        <v>46175</v>
      </c>
    </row>
    <row r="626" spans="1:18" ht="15" customHeight="1" x14ac:dyDescent="0.35">
      <c r="A626" s="103" t="s">
        <v>1114</v>
      </c>
      <c r="B626" s="86" t="s">
        <v>1408</v>
      </c>
      <c r="C626" s="76" t="s">
        <v>37</v>
      </c>
      <c r="D626" s="31">
        <v>16</v>
      </c>
      <c r="E626" s="72" t="s">
        <v>1424</v>
      </c>
      <c r="F626" s="6" t="s">
        <v>25</v>
      </c>
      <c r="G626" s="146">
        <v>344807.69</v>
      </c>
      <c r="H626" s="92" t="s">
        <v>1417</v>
      </c>
      <c r="I626" s="122" t="s">
        <v>27</v>
      </c>
      <c r="J626" s="122" t="s">
        <v>27</v>
      </c>
      <c r="K626" s="122" t="s">
        <v>27</v>
      </c>
      <c r="L626" s="6" t="s">
        <v>28</v>
      </c>
      <c r="M626" s="136"/>
      <c r="N626" s="136"/>
      <c r="O626" s="136" t="s">
        <v>756</v>
      </c>
      <c r="P626" s="164" t="s">
        <v>1389</v>
      </c>
      <c r="Q626" s="83">
        <f t="shared" si="9"/>
        <v>2023</v>
      </c>
      <c r="R626" s="125">
        <v>46176</v>
      </c>
    </row>
    <row r="627" spans="1:18" ht="15" customHeight="1" x14ac:dyDescent="0.35">
      <c r="A627" s="103" t="s">
        <v>1114</v>
      </c>
      <c r="B627" s="86" t="s">
        <v>1408</v>
      </c>
      <c r="C627" s="76" t="s">
        <v>37</v>
      </c>
      <c r="D627" s="31" t="s">
        <v>1425</v>
      </c>
      <c r="E627" s="72" t="s">
        <v>1426</v>
      </c>
      <c r="F627" s="6" t="s">
        <v>25</v>
      </c>
      <c r="G627" s="146">
        <v>72585.350000000006</v>
      </c>
      <c r="H627" s="92" t="s">
        <v>1417</v>
      </c>
      <c r="I627" s="122" t="s">
        <v>27</v>
      </c>
      <c r="J627" s="122" t="s">
        <v>27</v>
      </c>
      <c r="K627" s="122" t="s">
        <v>27</v>
      </c>
      <c r="L627" s="6" t="s">
        <v>28</v>
      </c>
      <c r="M627" s="136"/>
      <c r="N627" s="136"/>
      <c r="O627" s="136" t="s">
        <v>756</v>
      </c>
      <c r="P627" s="164" t="s">
        <v>1389</v>
      </c>
      <c r="Q627" s="83">
        <f t="shared" si="9"/>
        <v>2023</v>
      </c>
      <c r="R627" s="125">
        <v>46177</v>
      </c>
    </row>
    <row r="628" spans="1:18" ht="15" customHeight="1" x14ac:dyDescent="0.35">
      <c r="A628" s="103" t="s">
        <v>1114</v>
      </c>
      <c r="B628" s="86" t="s">
        <v>1408</v>
      </c>
      <c r="C628" s="76" t="s">
        <v>37</v>
      </c>
      <c r="D628" s="31" t="s">
        <v>1422</v>
      </c>
      <c r="E628" s="72" t="s">
        <v>1410</v>
      </c>
      <c r="F628" s="6" t="s">
        <v>25</v>
      </c>
      <c r="G628" s="146">
        <v>1264655.01</v>
      </c>
      <c r="H628" s="92" t="s">
        <v>1417</v>
      </c>
      <c r="I628" s="122" t="s">
        <v>27</v>
      </c>
      <c r="J628" s="122" t="s">
        <v>27</v>
      </c>
      <c r="K628" s="122" t="s">
        <v>27</v>
      </c>
      <c r="L628" s="6" t="s">
        <v>28</v>
      </c>
      <c r="M628" s="136"/>
      <c r="N628" s="136"/>
      <c r="O628" s="136" t="s">
        <v>756</v>
      </c>
      <c r="P628" s="164" t="s">
        <v>1389</v>
      </c>
      <c r="Q628" s="83">
        <f t="shared" si="9"/>
        <v>2023</v>
      </c>
      <c r="R628" s="125">
        <v>46177</v>
      </c>
    </row>
    <row r="629" spans="1:18" ht="15" customHeight="1" x14ac:dyDescent="0.35">
      <c r="A629" s="103" t="s">
        <v>1114</v>
      </c>
      <c r="B629" s="86" t="s">
        <v>1408</v>
      </c>
      <c r="C629" s="76" t="s">
        <v>37</v>
      </c>
      <c r="D629" s="31" t="s">
        <v>1427</v>
      </c>
      <c r="E629" s="72" t="s">
        <v>1428</v>
      </c>
      <c r="F629" s="6" t="s">
        <v>25</v>
      </c>
      <c r="G629" s="146">
        <v>354952</v>
      </c>
      <c r="H629" s="92" t="s">
        <v>1417</v>
      </c>
      <c r="I629" s="122" t="s">
        <v>27</v>
      </c>
      <c r="J629" s="122" t="s">
        <v>27</v>
      </c>
      <c r="K629" s="122" t="s">
        <v>27</v>
      </c>
      <c r="L629" s="6" t="s">
        <v>28</v>
      </c>
      <c r="M629" s="136"/>
      <c r="N629" s="136"/>
      <c r="O629" s="136" t="s">
        <v>756</v>
      </c>
      <c r="P629" s="164" t="s">
        <v>1389</v>
      </c>
      <c r="Q629" s="83">
        <f t="shared" si="9"/>
        <v>2023</v>
      </c>
      <c r="R629" s="125">
        <v>46178</v>
      </c>
    </row>
    <row r="630" spans="1:18" ht="15" customHeight="1" x14ac:dyDescent="0.35">
      <c r="A630" s="103" t="s">
        <v>1200</v>
      </c>
      <c r="B630" s="88" t="s">
        <v>1201</v>
      </c>
      <c r="C630" s="119" t="s">
        <v>82</v>
      </c>
      <c r="D630" s="121" t="s">
        <v>1429</v>
      </c>
      <c r="E630" s="131" t="s">
        <v>1430</v>
      </c>
      <c r="F630" s="90" t="s">
        <v>44</v>
      </c>
      <c r="G630" s="143">
        <v>809591</v>
      </c>
      <c r="H630" s="119" t="s">
        <v>1417</v>
      </c>
      <c r="I630" s="122" t="s">
        <v>27</v>
      </c>
      <c r="J630" s="122" t="s">
        <v>27</v>
      </c>
      <c r="K630" s="122" t="s">
        <v>27</v>
      </c>
      <c r="L630" s="6" t="s">
        <v>28</v>
      </c>
      <c r="M630" s="136"/>
      <c r="N630" s="136"/>
      <c r="O630" s="136" t="s">
        <v>756</v>
      </c>
      <c r="P630" s="164" t="s">
        <v>1389</v>
      </c>
      <c r="Q630" s="83">
        <f t="shared" si="9"/>
        <v>2024</v>
      </c>
      <c r="R630" s="125">
        <v>46184</v>
      </c>
    </row>
    <row r="631" spans="1:18" ht="15" customHeight="1" x14ac:dyDescent="0.35">
      <c r="A631" s="118" t="s">
        <v>1431</v>
      </c>
      <c r="B631" s="88" t="s">
        <v>1432</v>
      </c>
      <c r="C631" s="119" t="s">
        <v>23</v>
      </c>
      <c r="D631" s="121">
        <v>2</v>
      </c>
      <c r="E631" s="131" t="s">
        <v>1433</v>
      </c>
      <c r="F631" s="90" t="s">
        <v>25</v>
      </c>
      <c r="G631" s="143">
        <v>340000</v>
      </c>
      <c r="H631" s="119" t="s">
        <v>1417</v>
      </c>
      <c r="I631" s="122" t="s">
        <v>27</v>
      </c>
      <c r="J631" s="122" t="s">
        <v>27</v>
      </c>
      <c r="K631" s="122" t="s">
        <v>27</v>
      </c>
      <c r="L631" s="122" t="s">
        <v>27</v>
      </c>
      <c r="M631" s="122" t="s">
        <v>27</v>
      </c>
      <c r="N631" s="6" t="s">
        <v>28</v>
      </c>
      <c r="O631" s="136" t="s">
        <v>756</v>
      </c>
      <c r="P631" s="164" t="s">
        <v>1389</v>
      </c>
      <c r="Q631" s="83">
        <f t="shared" si="9"/>
        <v>2024</v>
      </c>
      <c r="R631" s="125">
        <v>46184</v>
      </c>
    </row>
    <row r="632" spans="1:18" ht="15" customHeight="1" x14ac:dyDescent="0.35">
      <c r="A632" s="103" t="s">
        <v>1434</v>
      </c>
      <c r="B632" s="86" t="s">
        <v>64</v>
      </c>
      <c r="C632" s="76" t="s">
        <v>66</v>
      </c>
      <c r="D632" s="76">
        <v>1</v>
      </c>
      <c r="E632" s="138" t="s">
        <v>1435</v>
      </c>
      <c r="F632" s="78" t="s">
        <v>44</v>
      </c>
      <c r="G632" s="149">
        <v>11404768</v>
      </c>
      <c r="H632" s="92" t="s">
        <v>1417</v>
      </c>
      <c r="I632" s="122" t="s">
        <v>27</v>
      </c>
      <c r="J632" s="6" t="s">
        <v>28</v>
      </c>
      <c r="K632" s="122"/>
      <c r="L632" s="122"/>
      <c r="M632" s="136"/>
      <c r="N632" s="136"/>
      <c r="O632" s="136" t="s">
        <v>756</v>
      </c>
      <c r="P632" s="164" t="s">
        <v>1436</v>
      </c>
      <c r="Q632" s="83">
        <f t="shared" si="9"/>
        <v>2026</v>
      </c>
      <c r="R632" s="125">
        <v>46184</v>
      </c>
    </row>
    <row r="633" spans="1:18" ht="15" customHeight="1" x14ac:dyDescent="0.35">
      <c r="A633" s="103" t="s">
        <v>175</v>
      </c>
      <c r="B633" s="86" t="s">
        <v>1272</v>
      </c>
      <c r="C633" s="121" t="s">
        <v>48</v>
      </c>
      <c r="D633" s="76">
        <v>3</v>
      </c>
      <c r="E633" s="138" t="s">
        <v>1437</v>
      </c>
      <c r="F633" s="6" t="s">
        <v>25</v>
      </c>
      <c r="G633" s="149">
        <v>506312</v>
      </c>
      <c r="H633" s="92" t="s">
        <v>1417</v>
      </c>
      <c r="I633" s="122" t="s">
        <v>27</v>
      </c>
      <c r="J633" s="6" t="s">
        <v>28</v>
      </c>
      <c r="K633" s="122"/>
      <c r="L633" s="122"/>
      <c r="M633" s="136"/>
      <c r="N633" s="136"/>
      <c r="O633" s="136" t="s">
        <v>756</v>
      </c>
      <c r="P633" s="164" t="s">
        <v>1438</v>
      </c>
      <c r="Q633" s="83">
        <f t="shared" si="9"/>
        <v>2025</v>
      </c>
      <c r="R633" s="125">
        <v>46184</v>
      </c>
    </row>
    <row r="634" spans="1:18" ht="15" customHeight="1" x14ac:dyDescent="0.35">
      <c r="A634" s="103" t="s">
        <v>119</v>
      </c>
      <c r="B634" s="86" t="s">
        <v>120</v>
      </c>
      <c r="C634" s="121" t="s">
        <v>48</v>
      </c>
      <c r="D634" s="76">
        <v>2</v>
      </c>
      <c r="E634" s="138" t="s">
        <v>1437</v>
      </c>
      <c r="F634" s="6" t="s">
        <v>25</v>
      </c>
      <c r="G634" s="149">
        <v>262467</v>
      </c>
      <c r="H634" s="92" t="s">
        <v>1417</v>
      </c>
      <c r="I634" s="122" t="s">
        <v>27</v>
      </c>
      <c r="J634" s="6" t="s">
        <v>28</v>
      </c>
      <c r="K634" s="122"/>
      <c r="L634" s="122"/>
      <c r="M634" s="136"/>
      <c r="N634" s="136"/>
      <c r="O634" s="136" t="s">
        <v>756</v>
      </c>
      <c r="P634" s="164" t="s">
        <v>1438</v>
      </c>
      <c r="Q634" s="83">
        <f t="shared" si="9"/>
        <v>2025</v>
      </c>
      <c r="R634" s="125">
        <v>46184</v>
      </c>
    </row>
    <row r="635" spans="1:18" ht="15" customHeight="1" x14ac:dyDescent="0.35">
      <c r="A635" s="103" t="s">
        <v>54</v>
      </c>
      <c r="B635" s="88" t="s">
        <v>1439</v>
      </c>
      <c r="C635" s="119" t="s">
        <v>23</v>
      </c>
      <c r="D635" s="121" t="s">
        <v>1440</v>
      </c>
      <c r="E635" s="131" t="s">
        <v>1441</v>
      </c>
      <c r="F635" s="90" t="s">
        <v>25</v>
      </c>
      <c r="G635" s="143">
        <v>35000</v>
      </c>
      <c r="H635" s="119" t="s">
        <v>1417</v>
      </c>
      <c r="I635" s="6" t="s">
        <v>28</v>
      </c>
      <c r="J635" s="136"/>
      <c r="K635" s="136"/>
      <c r="L635" s="136"/>
      <c r="M635" s="136"/>
      <c r="N635" s="136"/>
      <c r="O635" s="141" t="s">
        <v>756</v>
      </c>
      <c r="P635" s="164" t="s">
        <v>1442</v>
      </c>
      <c r="Q635" s="83">
        <f t="shared" si="9"/>
        <v>2026</v>
      </c>
      <c r="R635" s="125">
        <v>36527</v>
      </c>
    </row>
    <row r="636" spans="1:18" ht="15" customHeight="1" x14ac:dyDescent="0.35">
      <c r="A636" s="104" t="s">
        <v>1317</v>
      </c>
      <c r="B636" s="88" t="s">
        <v>110</v>
      </c>
      <c r="C636" s="119" t="s">
        <v>23</v>
      </c>
      <c r="D636" s="121">
        <v>2</v>
      </c>
      <c r="E636" s="131" t="s">
        <v>1259</v>
      </c>
      <c r="F636" s="90" t="s">
        <v>25</v>
      </c>
      <c r="G636" s="143">
        <v>25000</v>
      </c>
      <c r="H636" s="119" t="s">
        <v>1417</v>
      </c>
      <c r="I636" s="122" t="s">
        <v>27</v>
      </c>
      <c r="J636" s="122" t="s">
        <v>27</v>
      </c>
      <c r="K636" s="122" t="s">
        <v>27</v>
      </c>
      <c r="L636" s="6" t="s">
        <v>28</v>
      </c>
      <c r="M636" s="136"/>
      <c r="N636" s="136"/>
      <c r="O636" s="141" t="s">
        <v>756</v>
      </c>
      <c r="P636" s="164" t="s">
        <v>1443</v>
      </c>
      <c r="Q636" s="83">
        <f t="shared" si="9"/>
        <v>2025</v>
      </c>
      <c r="R636" s="127">
        <v>46182</v>
      </c>
    </row>
    <row r="637" spans="1:18" ht="15" customHeight="1" x14ac:dyDescent="0.35">
      <c r="A637" s="103" t="s">
        <v>934</v>
      </c>
      <c r="B637" s="88" t="s">
        <v>1444</v>
      </c>
      <c r="C637" s="119" t="s">
        <v>61</v>
      </c>
      <c r="D637" s="121">
        <v>1</v>
      </c>
      <c r="E637" s="131" t="s">
        <v>1445</v>
      </c>
      <c r="F637" s="90" t="s">
        <v>44</v>
      </c>
      <c r="G637" s="143" t="s">
        <v>1440</v>
      </c>
      <c r="H637" s="119" t="s">
        <v>730</v>
      </c>
      <c r="I637" s="152" t="s">
        <v>27</v>
      </c>
      <c r="J637" s="152" t="s">
        <v>27</v>
      </c>
      <c r="K637" s="6" t="s">
        <v>28</v>
      </c>
      <c r="L637" s="136"/>
      <c r="M637" s="136"/>
      <c r="N637" s="136"/>
      <c r="O637" s="122" t="s">
        <v>756</v>
      </c>
      <c r="P637" s="134" t="s">
        <v>1446</v>
      </c>
      <c r="Q637" s="83">
        <f t="shared" si="9"/>
        <v>2021</v>
      </c>
      <c r="R637" s="127">
        <v>46183</v>
      </c>
    </row>
    <row r="638" spans="1:18" ht="15" hidden="1" customHeight="1" x14ac:dyDescent="0.35">
      <c r="A638" s="105" t="s">
        <v>1447</v>
      </c>
      <c r="B638" s="99" t="s">
        <v>1448</v>
      </c>
      <c r="C638" s="119" t="s">
        <v>23</v>
      </c>
      <c r="D638" s="82"/>
      <c r="E638" s="15"/>
      <c r="F638" s="81"/>
      <c r="G638" s="150"/>
      <c r="H638" s="21"/>
      <c r="I638" s="136"/>
      <c r="J638" s="136"/>
      <c r="K638" s="136"/>
      <c r="L638" s="136"/>
      <c r="M638" s="136"/>
      <c r="N638" s="136"/>
      <c r="O638" s="17"/>
      <c r="P638" s="21"/>
      <c r="Q638" s="83">
        <f t="shared" si="9"/>
        <v>2025</v>
      </c>
      <c r="R638" s="108"/>
    </row>
  </sheetData>
  <conditionalFormatting sqref="I1:N1048576">
    <cfRule type="containsText" dxfId="8" priority="347" operator="containsText" text="Complete">
      <formula>NOT(ISERROR(SEARCH("Complete",I1)))</formula>
    </cfRule>
    <cfRule type="containsText" dxfId="7" priority="348" operator="containsText" text="Pending">
      <formula>NOT(ISERROR(SEARCH("Pending",I1)))</formula>
    </cfRule>
  </conditionalFormatting>
  <conditionalFormatting sqref="P2:P999">
    <cfRule type="notContainsBlanks" dxfId="6" priority="346">
      <formula>LEN(TRIM(P2))&gt;0</formula>
    </cfRule>
  </conditionalFormatting>
  <dataValidations disablePrompts="1" count="4">
    <dataValidation allowBlank="1" showInputMessage="1" showErrorMessage="1" sqref="P573:P578 P606:P1048576 P2:P167 P602:P604 P565:P571 P580:P599 P170:P497 P499:P555 P557:P563 I639:N1048576" xr:uid="{826B2799-82ED-4BA8-9DE7-49EF5906332D}"/>
    <dataValidation type="date" operator="greaterThan" allowBlank="1" showInputMessage="1" showErrorMessage="1" sqref="R417" xr:uid="{2CC3F8AE-FF3A-4EE3-9E05-0EDAF3132BDC}">
      <formula1>39448</formula1>
    </dataValidation>
    <dataValidation type="custom" operator="greaterThanOrEqual" allowBlank="1" showInputMessage="1" showErrorMessage="1" sqref="I417:K417 M547:N547 I618:K622 M605:M606 M400:M416 N590:N592 I625:K630 L580:L587 K632:L634 R52:R55 I631:M631 I623:N624 R600:R608 I548:N549 I594:N598 M417:N417 I609:N617 M498:M546 R184 N539:N546 K636 R154 R335 R618:R622 I274:N274 R277 R259 R168:R169 N483:N485 M65:M84 N69 N105:N122 N71:N103 K65:K167 L65:L153 R70 N334:N342 R343 L276 R332:R333 L278:L331 N349:N416 L334:L343 R379 M272:N273 M383:M394 M397:M398 L505:L528 M418:M425 M427 R353 L354:L387 J346:J378 R348 L541:L546 I600:K608 R538:R539 R428:R429 R382 R388 R395:R396 R399 R426 R528:R530 R504 R499:R500 R497 R494 R484:R487 R587:R589 R574 R572 R565 R558 R578:R583 R552 I540:I547 L501:L503 M482:N482 I531:I538 L389:L416 I65:J271 M588:M593 L551 N550:N557 N559:N564 I550:K593 M550:M573 L557:L571 M575:M579 M584:M586 L589:L593 N566:N588 M600:N601 L602:M604 L606 L637:L638 L346:L352 I346:I416 R104 R123 R85 R68 M275:N333 I275:K345 M334:M381 N344:N347 J380:J416 K346:K416 N529:N537 I418:L446 N495:N527 R556 I632:I634 L530:L539 L155:L219 R220:R221 L222:L258 I2:M64 N2:N67 N124:N271 L260:L271 M86:M271 K170:K271 L553:L555 L573:L577 I447:K447 I448:L450 R625:R637 M483 J483:K547 I272:K273 M486:M496 N488:N493 I483:I529 I451:K482 M430:M481 I638:K638 L451:L498 I636:J637 N418:N430 N432:N481" xr:uid="{C4F5FCF3-B27B-412B-8116-56B8F0780F5C}">
      <formula1>OR(AND(ISNUMBER(I2),I2&gt;DATE(2000,1,1)),I2="-")</formula1>
    </dataValidation>
    <dataValidation type="list" allowBlank="1" showInputMessage="1" showErrorMessage="1" sqref="O1:O1048576" xr:uid="{93872BAF-10B4-47FB-A3BF-5E9BD6134572}">
      <formula1>"Closed, Open Invoiced, Open Not Invoiced, NA"</formula1>
    </dataValidation>
  </dataValidations>
  <pageMargins left="0.7" right="0.7" top="0.75" bottom="0.75" header="0.3" footer="0.3"/>
  <pageSetup paperSize="9" fitToHeight="0" orientation="landscape" horizontalDpi="200" verticalDpi="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2E94E-3613-4632-AD69-01CC16BEFFF8}">
  <sheetPr codeName="Sheet6">
    <tabColor theme="6" tint="0.79998168889431442"/>
    <pageSetUpPr fitToPage="1"/>
  </sheetPr>
  <dimension ref="A1:P27"/>
  <sheetViews>
    <sheetView showGridLines="0" zoomScale="70" zoomScaleNormal="70" zoomScalePageLayoutView="75" workbookViewId="0">
      <pane xSplit="1" ySplit="12" topLeftCell="B13" activePane="bottomRight" state="frozen"/>
      <selection pane="topRight" activeCell="D1" sqref="D1"/>
      <selection pane="bottomLeft" activeCell="B7" sqref="B7"/>
      <selection pane="bottomRight"/>
    </sheetView>
  </sheetViews>
  <sheetFormatPr defaultColWidth="12.54296875" defaultRowHeight="14.5" x14ac:dyDescent="0.35"/>
  <cols>
    <col min="1" max="1" width="13.453125" style="216" bestFit="1" customWidth="1"/>
    <col min="2" max="2" width="67.7265625" style="216" bestFit="1" customWidth="1"/>
    <col min="3" max="3" width="19.453125" style="216" bestFit="1" customWidth="1"/>
    <col min="4" max="4" width="30.26953125" style="216" bestFit="1" customWidth="1"/>
    <col min="5" max="5" width="68" style="228" bestFit="1" customWidth="1"/>
    <col min="6" max="6" width="11.81640625" style="228" bestFit="1" customWidth="1"/>
    <col min="7" max="7" width="11.54296875" style="216" bestFit="1" customWidth="1"/>
    <col min="8" max="8" width="16.1796875" style="216" bestFit="1" customWidth="1"/>
    <col min="9" max="9" width="25.26953125" style="228" bestFit="1" customWidth="1"/>
    <col min="10" max="10" width="21.54296875" style="228" bestFit="1" customWidth="1"/>
    <col min="11" max="11" width="31.7265625" style="228" bestFit="1" customWidth="1"/>
    <col min="12" max="12" width="34.81640625" style="228" bestFit="1" customWidth="1"/>
    <col min="13" max="13" width="21.26953125" style="228" bestFit="1" customWidth="1"/>
    <col min="14" max="14" width="38.7265625" style="228" bestFit="1" customWidth="1"/>
    <col min="15" max="15" width="7.7265625" style="216" bestFit="1" customWidth="1"/>
    <col min="16" max="16" width="12.1796875" style="216" bestFit="1" customWidth="1"/>
    <col min="17" max="16384" width="12.54296875" style="216"/>
  </cols>
  <sheetData>
    <row r="1" spans="1:16" s="202" customFormat="1" ht="15.5" x14ac:dyDescent="0.35">
      <c r="A1" s="195" t="s">
        <v>648</v>
      </c>
      <c r="B1" s="196" t="s">
        <v>1</v>
      </c>
      <c r="C1" s="197" t="s">
        <v>3</v>
      </c>
      <c r="D1" s="96" t="s">
        <v>1449</v>
      </c>
      <c r="E1" s="198" t="s">
        <v>650</v>
      </c>
      <c r="F1" s="198" t="s">
        <v>5</v>
      </c>
      <c r="G1" s="199" t="s">
        <v>651</v>
      </c>
      <c r="H1" s="199" t="s">
        <v>1450</v>
      </c>
      <c r="I1" s="96" t="s">
        <v>653</v>
      </c>
      <c r="J1" s="96" t="s">
        <v>654</v>
      </c>
      <c r="K1" s="96" t="s">
        <v>1451</v>
      </c>
      <c r="L1" s="96" t="s">
        <v>656</v>
      </c>
      <c r="M1" s="96" t="s">
        <v>1452</v>
      </c>
      <c r="N1" s="96" t="s">
        <v>17</v>
      </c>
      <c r="O1" s="200" t="s">
        <v>18</v>
      </c>
      <c r="P1" s="201" t="s">
        <v>19</v>
      </c>
    </row>
    <row r="2" spans="1:16" s="202" customFormat="1" ht="15.5" x14ac:dyDescent="0.35">
      <c r="A2" s="203" t="s">
        <v>1453</v>
      </c>
      <c r="B2" s="204" t="s">
        <v>817</v>
      </c>
      <c r="C2" s="205" t="s">
        <v>37</v>
      </c>
      <c r="D2" s="205" t="s">
        <v>1454</v>
      </c>
      <c r="E2" s="206" t="s">
        <v>1455</v>
      </c>
      <c r="F2" s="207" t="s">
        <v>25</v>
      </c>
      <c r="G2" s="208">
        <v>8000</v>
      </c>
      <c r="H2" s="136" t="s">
        <v>1456</v>
      </c>
      <c r="I2" s="205" t="s">
        <v>27</v>
      </c>
      <c r="J2" s="205" t="s">
        <v>27</v>
      </c>
      <c r="K2" s="205" t="s">
        <v>27</v>
      </c>
      <c r="L2" s="209" t="s">
        <v>27</v>
      </c>
      <c r="M2" s="209" t="s">
        <v>27</v>
      </c>
      <c r="N2" s="44"/>
      <c r="O2" s="204">
        <f>IFERROR(2000 + VALUE(LEFT(A2,2)), "")</f>
        <v>2020</v>
      </c>
      <c r="P2" s="210"/>
    </row>
    <row r="3" spans="1:16" s="202" customFormat="1" ht="15.5" x14ac:dyDescent="0.35">
      <c r="A3" s="203" t="s">
        <v>1457</v>
      </c>
      <c r="B3" s="204" t="s">
        <v>902</v>
      </c>
      <c r="C3" s="205" t="s">
        <v>48</v>
      </c>
      <c r="D3" s="205" t="s">
        <v>1458</v>
      </c>
      <c r="E3" s="206" t="s">
        <v>908</v>
      </c>
      <c r="F3" s="207" t="s">
        <v>25</v>
      </c>
      <c r="G3" s="208">
        <v>762233</v>
      </c>
      <c r="H3" s="136" t="s">
        <v>709</v>
      </c>
      <c r="I3" s="205" t="s">
        <v>27</v>
      </c>
      <c r="J3" s="205" t="s">
        <v>27</v>
      </c>
      <c r="K3" s="205" t="s">
        <v>27</v>
      </c>
      <c r="L3" s="205" t="s">
        <v>27</v>
      </c>
      <c r="M3" s="205" t="s">
        <v>27</v>
      </c>
      <c r="N3" s="44"/>
      <c r="O3" s="204">
        <f t="shared" ref="O3:O23" si="0">IFERROR(2000 + VALUE(LEFT(A3,2)), "")</f>
        <v>2021</v>
      </c>
      <c r="P3" s="210"/>
    </row>
    <row r="4" spans="1:16" s="202" customFormat="1" ht="15.5" x14ac:dyDescent="0.35">
      <c r="A4" s="203" t="s">
        <v>1457</v>
      </c>
      <c r="B4" s="204" t="s">
        <v>902</v>
      </c>
      <c r="C4" s="205" t="s">
        <v>48</v>
      </c>
      <c r="D4" s="205" t="s">
        <v>1458</v>
      </c>
      <c r="E4" s="206" t="s">
        <v>910</v>
      </c>
      <c r="F4" s="207" t="s">
        <v>25</v>
      </c>
      <c r="G4" s="208">
        <v>820800</v>
      </c>
      <c r="H4" s="136" t="s">
        <v>709</v>
      </c>
      <c r="I4" s="205" t="s">
        <v>27</v>
      </c>
      <c r="J4" s="205" t="s">
        <v>27</v>
      </c>
      <c r="K4" s="205" t="s">
        <v>27</v>
      </c>
      <c r="L4" s="205" t="s">
        <v>27</v>
      </c>
      <c r="M4" s="205" t="s">
        <v>27</v>
      </c>
      <c r="N4" s="44"/>
      <c r="O4" s="204">
        <f t="shared" si="0"/>
        <v>2021</v>
      </c>
      <c r="P4" s="210"/>
    </row>
    <row r="5" spans="1:16" s="202" customFormat="1" ht="15.5" x14ac:dyDescent="0.35">
      <c r="A5" s="203" t="s">
        <v>1459</v>
      </c>
      <c r="B5" s="204" t="s">
        <v>1460</v>
      </c>
      <c r="C5" s="205" t="s">
        <v>48</v>
      </c>
      <c r="D5" s="205" t="s">
        <v>1461</v>
      </c>
      <c r="E5" s="206" t="s">
        <v>1462</v>
      </c>
      <c r="F5" s="206" t="s">
        <v>44</v>
      </c>
      <c r="G5" s="208">
        <v>2000</v>
      </c>
      <c r="H5" s="136" t="s">
        <v>709</v>
      </c>
      <c r="I5" s="205" t="s">
        <v>27</v>
      </c>
      <c r="J5" s="205" t="s">
        <v>27</v>
      </c>
      <c r="K5" s="205" t="s">
        <v>27</v>
      </c>
      <c r="L5" s="205" t="s">
        <v>27</v>
      </c>
      <c r="M5" s="205" t="s">
        <v>27</v>
      </c>
      <c r="N5" s="44"/>
      <c r="O5" s="204">
        <f t="shared" si="0"/>
        <v>2021</v>
      </c>
      <c r="P5" s="210"/>
    </row>
    <row r="6" spans="1:16" s="202" customFormat="1" ht="15.5" x14ac:dyDescent="0.35">
      <c r="A6" s="203" t="s">
        <v>1463</v>
      </c>
      <c r="B6" s="204" t="s">
        <v>1464</v>
      </c>
      <c r="C6" s="205" t="s">
        <v>48</v>
      </c>
      <c r="D6" s="205" t="s">
        <v>1465</v>
      </c>
      <c r="E6" s="211" t="s">
        <v>1466</v>
      </c>
      <c r="F6" s="211" t="s">
        <v>44</v>
      </c>
      <c r="G6" s="208">
        <v>7600</v>
      </c>
      <c r="H6" s="136" t="s">
        <v>709</v>
      </c>
      <c r="I6" s="205" t="s">
        <v>27</v>
      </c>
      <c r="J6" s="205" t="s">
        <v>27</v>
      </c>
      <c r="K6" s="205" t="s">
        <v>27</v>
      </c>
      <c r="L6" s="205" t="s">
        <v>27</v>
      </c>
      <c r="M6" s="205" t="s">
        <v>27</v>
      </c>
      <c r="N6" s="44"/>
      <c r="O6" s="204">
        <f t="shared" si="0"/>
        <v>2021</v>
      </c>
      <c r="P6" s="210"/>
    </row>
    <row r="7" spans="1:16" s="202" customFormat="1" ht="15.5" x14ac:dyDescent="0.35">
      <c r="A7" s="203" t="s">
        <v>1467</v>
      </c>
      <c r="B7" s="204" t="s">
        <v>1468</v>
      </c>
      <c r="C7" s="205" t="s">
        <v>37</v>
      </c>
      <c r="D7" s="205" t="s">
        <v>1469</v>
      </c>
      <c r="E7" s="207" t="s">
        <v>1470</v>
      </c>
      <c r="F7" s="207" t="s">
        <v>25</v>
      </c>
      <c r="G7" s="208">
        <v>188100</v>
      </c>
      <c r="H7" s="136" t="s">
        <v>1417</v>
      </c>
      <c r="I7" s="205" t="s">
        <v>27</v>
      </c>
      <c r="J7" s="209" t="s">
        <v>28</v>
      </c>
      <c r="K7" s="205"/>
      <c r="L7" s="205"/>
      <c r="M7" s="205"/>
      <c r="N7" s="212" t="s">
        <v>1471</v>
      </c>
      <c r="O7" s="204">
        <f t="shared" si="0"/>
        <v>2023</v>
      </c>
      <c r="P7" s="210">
        <v>45756</v>
      </c>
    </row>
    <row r="8" spans="1:16" s="202" customFormat="1" ht="15.5" x14ac:dyDescent="0.35">
      <c r="A8" s="203" t="s">
        <v>1472</v>
      </c>
      <c r="B8" s="204" t="s">
        <v>540</v>
      </c>
      <c r="C8" s="205" t="s">
        <v>100</v>
      </c>
      <c r="D8" s="205" t="s">
        <v>1473</v>
      </c>
      <c r="E8" s="211" t="s">
        <v>1474</v>
      </c>
      <c r="F8" s="211" t="s">
        <v>44</v>
      </c>
      <c r="G8" s="208">
        <v>45000</v>
      </c>
      <c r="H8" s="136" t="s">
        <v>1475</v>
      </c>
      <c r="I8" s="205" t="s">
        <v>27</v>
      </c>
      <c r="J8" s="213" t="s">
        <v>27</v>
      </c>
      <c r="K8" s="213" t="s">
        <v>27</v>
      </c>
      <c r="L8" s="213" t="s">
        <v>1476</v>
      </c>
      <c r="M8" s="213" t="s">
        <v>1476</v>
      </c>
      <c r="N8" s="44" t="s">
        <v>62</v>
      </c>
      <c r="O8" s="204">
        <f t="shared" si="0"/>
        <v>2022</v>
      </c>
      <c r="P8" s="210"/>
    </row>
    <row r="9" spans="1:16" s="202" customFormat="1" ht="15.5" x14ac:dyDescent="0.35">
      <c r="A9" s="203" t="s">
        <v>1467</v>
      </c>
      <c r="B9" s="204" t="s">
        <v>1468</v>
      </c>
      <c r="C9" s="205" t="s">
        <v>37</v>
      </c>
      <c r="D9" s="205" t="s">
        <v>1477</v>
      </c>
      <c r="E9" s="211" t="s">
        <v>1127</v>
      </c>
      <c r="F9" s="211" t="s">
        <v>25</v>
      </c>
      <c r="G9" s="208">
        <v>128400</v>
      </c>
      <c r="H9" s="136" t="s">
        <v>1475</v>
      </c>
      <c r="I9" s="205" t="s">
        <v>27</v>
      </c>
      <c r="J9" s="205" t="s">
        <v>27</v>
      </c>
      <c r="K9" s="205" t="s">
        <v>27</v>
      </c>
      <c r="L9" s="205" t="s">
        <v>27</v>
      </c>
      <c r="M9" s="205" t="s">
        <v>27</v>
      </c>
      <c r="N9" s="214"/>
      <c r="O9" s="204">
        <f t="shared" si="0"/>
        <v>2023</v>
      </c>
      <c r="P9" s="210"/>
    </row>
    <row r="10" spans="1:16" s="202" customFormat="1" ht="15.5" x14ac:dyDescent="0.35">
      <c r="A10" s="203" t="s">
        <v>1467</v>
      </c>
      <c r="B10" s="204" t="s">
        <v>1468</v>
      </c>
      <c r="C10" s="205" t="s">
        <v>37</v>
      </c>
      <c r="D10" s="205" t="s">
        <v>1478</v>
      </c>
      <c r="E10" s="207" t="s">
        <v>1479</v>
      </c>
      <c r="F10" s="207" t="s">
        <v>25</v>
      </c>
      <c r="G10" s="208">
        <v>5800</v>
      </c>
      <c r="H10" s="136" t="s">
        <v>1456</v>
      </c>
      <c r="I10" s="205" t="s">
        <v>27</v>
      </c>
      <c r="J10" s="205" t="s">
        <v>27</v>
      </c>
      <c r="K10" s="205" t="s">
        <v>27</v>
      </c>
      <c r="L10" s="205" t="s">
        <v>27</v>
      </c>
      <c r="M10" s="205" t="s">
        <v>27</v>
      </c>
      <c r="N10" s="44"/>
      <c r="O10" s="204">
        <f t="shared" si="0"/>
        <v>2023</v>
      </c>
      <c r="P10" s="210"/>
    </row>
    <row r="11" spans="1:16" s="202" customFormat="1" ht="15.5" x14ac:dyDescent="0.35">
      <c r="A11" s="203" t="s">
        <v>1218</v>
      </c>
      <c r="B11" s="204" t="s">
        <v>283</v>
      </c>
      <c r="C11" s="205" t="s">
        <v>61</v>
      </c>
      <c r="D11" s="205" t="s">
        <v>1480</v>
      </c>
      <c r="E11" s="207" t="s">
        <v>1481</v>
      </c>
      <c r="F11" s="207" t="s">
        <v>44</v>
      </c>
      <c r="G11" s="208">
        <v>1350</v>
      </c>
      <c r="H11" s="136" t="s">
        <v>1475</v>
      </c>
      <c r="I11" s="205" t="s">
        <v>27</v>
      </c>
      <c r="J11" s="213" t="s">
        <v>27</v>
      </c>
      <c r="K11" s="213" t="s">
        <v>27</v>
      </c>
      <c r="L11" s="213" t="s">
        <v>27</v>
      </c>
      <c r="M11" s="213" t="s">
        <v>27</v>
      </c>
      <c r="N11" s="44"/>
      <c r="O11" s="204">
        <f t="shared" si="0"/>
        <v>2024</v>
      </c>
      <c r="P11" s="210"/>
    </row>
    <row r="12" spans="1:16" x14ac:dyDescent="0.35">
      <c r="A12" s="203" t="s">
        <v>1252</v>
      </c>
      <c r="B12" s="204" t="s">
        <v>1482</v>
      </c>
      <c r="C12" s="205" t="s">
        <v>48</v>
      </c>
      <c r="D12" s="205" t="s">
        <v>1483</v>
      </c>
      <c r="E12" s="207" t="s">
        <v>1484</v>
      </c>
      <c r="F12" s="207" t="s">
        <v>25</v>
      </c>
      <c r="G12" s="208">
        <v>160000</v>
      </c>
      <c r="H12" s="136" t="s">
        <v>1485</v>
      </c>
      <c r="I12" s="205" t="s">
        <v>27</v>
      </c>
      <c r="J12" s="209" t="s">
        <v>28</v>
      </c>
      <c r="K12" s="205"/>
      <c r="L12" s="205"/>
      <c r="M12" s="205"/>
      <c r="N12" s="212" t="s">
        <v>1486</v>
      </c>
      <c r="O12" s="204">
        <f t="shared" si="0"/>
        <v>2024</v>
      </c>
      <c r="P12" s="215"/>
    </row>
    <row r="13" spans="1:16" x14ac:dyDescent="0.35">
      <c r="A13" s="203" t="s">
        <v>1487</v>
      </c>
      <c r="B13" s="204" t="s">
        <v>215</v>
      </c>
      <c r="C13" s="205" t="s">
        <v>100</v>
      </c>
      <c r="D13" s="205" t="s">
        <v>1488</v>
      </c>
      <c r="E13" s="207" t="s">
        <v>1489</v>
      </c>
      <c r="F13" s="207" t="s">
        <v>53</v>
      </c>
      <c r="G13" s="208">
        <v>3307.5</v>
      </c>
      <c r="H13" s="136" t="s">
        <v>1475</v>
      </c>
      <c r="I13" s="205" t="s">
        <v>27</v>
      </c>
      <c r="J13" s="213" t="s">
        <v>27</v>
      </c>
      <c r="K13" s="213" t="s">
        <v>27</v>
      </c>
      <c r="L13" s="217" t="s">
        <v>27</v>
      </c>
      <c r="M13" s="217" t="s">
        <v>27</v>
      </c>
      <c r="N13" s="44" t="s">
        <v>62</v>
      </c>
      <c r="O13" s="204">
        <f t="shared" si="0"/>
        <v>2025</v>
      </c>
      <c r="P13" s="215"/>
    </row>
    <row r="14" spans="1:16" x14ac:dyDescent="0.35">
      <c r="A14" s="203" t="s">
        <v>1252</v>
      </c>
      <c r="B14" s="204" t="s">
        <v>1482</v>
      </c>
      <c r="C14" s="205" t="s">
        <v>48</v>
      </c>
      <c r="D14" s="205" t="s">
        <v>1490</v>
      </c>
      <c r="E14" s="207" t="s">
        <v>1491</v>
      </c>
      <c r="F14" s="207" t="s">
        <v>25</v>
      </c>
      <c r="G14" s="208">
        <v>11000</v>
      </c>
      <c r="H14" s="136" t="s">
        <v>781</v>
      </c>
      <c r="I14" s="205" t="s">
        <v>27</v>
      </c>
      <c r="J14" s="209" t="s">
        <v>28</v>
      </c>
      <c r="K14" s="205"/>
      <c r="L14" s="205"/>
      <c r="M14" s="205"/>
      <c r="N14" s="44" t="s">
        <v>1492</v>
      </c>
      <c r="O14" s="204">
        <f t="shared" si="0"/>
        <v>2024</v>
      </c>
      <c r="P14" s="215">
        <v>45930</v>
      </c>
    </row>
    <row r="15" spans="1:16" x14ac:dyDescent="0.35">
      <c r="A15" s="203" t="s">
        <v>1493</v>
      </c>
      <c r="B15" s="204" t="s">
        <v>1153</v>
      </c>
      <c r="C15" s="205" t="s">
        <v>23</v>
      </c>
      <c r="D15" s="205" t="s">
        <v>1461</v>
      </c>
      <c r="E15" s="207" t="s">
        <v>1494</v>
      </c>
      <c r="F15" s="207" t="s">
        <v>25</v>
      </c>
      <c r="G15" s="208">
        <v>10500</v>
      </c>
      <c r="H15" s="136" t="s">
        <v>1475</v>
      </c>
      <c r="I15" s="205" t="s">
        <v>27</v>
      </c>
      <c r="J15" s="213" t="s">
        <v>27</v>
      </c>
      <c r="K15" s="213" t="s">
        <v>27</v>
      </c>
      <c r="L15" s="213" t="s">
        <v>27</v>
      </c>
      <c r="M15" s="213" t="s">
        <v>27</v>
      </c>
      <c r="N15" s="44" t="s">
        <v>62</v>
      </c>
      <c r="O15" s="204">
        <f t="shared" si="0"/>
        <v>2024</v>
      </c>
      <c r="P15" s="215"/>
    </row>
    <row r="16" spans="1:16" x14ac:dyDescent="0.35">
      <c r="A16" s="203" t="s">
        <v>1467</v>
      </c>
      <c r="B16" s="204" t="s">
        <v>1468</v>
      </c>
      <c r="C16" s="205" t="s">
        <v>37</v>
      </c>
      <c r="D16" s="205" t="s">
        <v>1478</v>
      </c>
      <c r="E16" s="211" t="s">
        <v>1495</v>
      </c>
      <c r="F16" s="211" t="s">
        <v>25</v>
      </c>
      <c r="G16" s="208">
        <v>76651</v>
      </c>
      <c r="H16" s="136" t="s">
        <v>1456</v>
      </c>
      <c r="I16" s="205" t="s">
        <v>27</v>
      </c>
      <c r="J16" s="213" t="s">
        <v>27</v>
      </c>
      <c r="K16" s="213" t="s">
        <v>27</v>
      </c>
      <c r="L16" s="213" t="s">
        <v>27</v>
      </c>
      <c r="M16" s="205" t="s">
        <v>27</v>
      </c>
      <c r="N16" s="44"/>
      <c r="O16" s="204">
        <f t="shared" si="0"/>
        <v>2023</v>
      </c>
      <c r="P16" s="215"/>
    </row>
    <row r="17" spans="1:16" x14ac:dyDescent="0.35">
      <c r="A17" s="203" t="s">
        <v>1496</v>
      </c>
      <c r="B17" s="204" t="s">
        <v>1482</v>
      </c>
      <c r="C17" s="205" t="s">
        <v>48</v>
      </c>
      <c r="D17" s="205" t="s">
        <v>1497</v>
      </c>
      <c r="E17" s="207" t="s">
        <v>1498</v>
      </c>
      <c r="F17" s="207" t="s">
        <v>247</v>
      </c>
      <c r="G17" s="208">
        <v>10106</v>
      </c>
      <c r="H17" s="136" t="s">
        <v>1499</v>
      </c>
      <c r="I17" s="205" t="s">
        <v>27</v>
      </c>
      <c r="J17" s="213" t="s">
        <v>27</v>
      </c>
      <c r="K17" s="213" t="s">
        <v>27</v>
      </c>
      <c r="L17" s="213" t="s">
        <v>27</v>
      </c>
      <c r="M17" s="205" t="s">
        <v>27</v>
      </c>
      <c r="N17" s="44"/>
      <c r="O17" s="204">
        <f t="shared" si="0"/>
        <v>2024</v>
      </c>
      <c r="P17" s="215"/>
    </row>
    <row r="18" spans="1:16" x14ac:dyDescent="0.35">
      <c r="A18" s="203" t="s">
        <v>1467</v>
      </c>
      <c r="B18" s="204" t="s">
        <v>1468</v>
      </c>
      <c r="C18" s="205" t="s">
        <v>37</v>
      </c>
      <c r="D18" s="205" t="s">
        <v>1477</v>
      </c>
      <c r="E18" s="211" t="s">
        <v>1500</v>
      </c>
      <c r="F18" s="211" t="s">
        <v>25</v>
      </c>
      <c r="G18" s="208">
        <v>94625</v>
      </c>
      <c r="H18" s="136" t="s">
        <v>1499</v>
      </c>
      <c r="I18" s="205" t="s">
        <v>27</v>
      </c>
      <c r="J18" s="213" t="s">
        <v>27</v>
      </c>
      <c r="K18" s="213" t="s">
        <v>27</v>
      </c>
      <c r="L18" s="213" t="s">
        <v>27</v>
      </c>
      <c r="M18" s="205" t="s">
        <v>27</v>
      </c>
      <c r="N18" s="44"/>
      <c r="O18" s="204">
        <f t="shared" si="0"/>
        <v>2023</v>
      </c>
      <c r="P18" s="215"/>
    </row>
    <row r="19" spans="1:16" x14ac:dyDescent="0.35">
      <c r="A19" s="203" t="s">
        <v>1496</v>
      </c>
      <c r="B19" s="204" t="s">
        <v>1482</v>
      </c>
      <c r="C19" s="205" t="s">
        <v>48</v>
      </c>
      <c r="D19" s="205" t="s">
        <v>1501</v>
      </c>
      <c r="E19" s="207" t="s">
        <v>1502</v>
      </c>
      <c r="F19" s="207" t="s">
        <v>247</v>
      </c>
      <c r="G19" s="208">
        <v>179400</v>
      </c>
      <c r="H19" s="136" t="s">
        <v>1499</v>
      </c>
      <c r="I19" s="205" t="s">
        <v>27</v>
      </c>
      <c r="J19" s="213" t="s">
        <v>27</v>
      </c>
      <c r="K19" s="213" t="s">
        <v>27</v>
      </c>
      <c r="L19" s="213" t="s">
        <v>27</v>
      </c>
      <c r="M19" s="205" t="s">
        <v>27</v>
      </c>
      <c r="N19" s="44"/>
      <c r="O19" s="204">
        <f t="shared" si="0"/>
        <v>2024</v>
      </c>
      <c r="P19" s="215"/>
    </row>
    <row r="20" spans="1:16" x14ac:dyDescent="0.35">
      <c r="A20" s="203" t="s">
        <v>1496</v>
      </c>
      <c r="B20" s="204" t="s">
        <v>1482</v>
      </c>
      <c r="C20" s="205" t="s">
        <v>48</v>
      </c>
      <c r="D20" s="205" t="s">
        <v>1503</v>
      </c>
      <c r="E20" s="211" t="s">
        <v>1504</v>
      </c>
      <c r="F20" s="211" t="s">
        <v>247</v>
      </c>
      <c r="G20" s="208">
        <v>20000</v>
      </c>
      <c r="H20" s="136" t="s">
        <v>1499</v>
      </c>
      <c r="I20" s="205" t="s">
        <v>27</v>
      </c>
      <c r="J20" s="213" t="s">
        <v>27</v>
      </c>
      <c r="K20" s="213" t="s">
        <v>27</v>
      </c>
      <c r="L20" s="213" t="s">
        <v>27</v>
      </c>
      <c r="M20" s="205" t="s">
        <v>27</v>
      </c>
      <c r="N20" s="44"/>
      <c r="O20" s="204">
        <f t="shared" si="0"/>
        <v>2024</v>
      </c>
      <c r="P20" s="215"/>
    </row>
    <row r="21" spans="1:16" x14ac:dyDescent="0.35">
      <c r="A21" s="203" t="s">
        <v>1090</v>
      </c>
      <c r="B21" s="204" t="s">
        <v>494</v>
      </c>
      <c r="C21" s="205" t="s">
        <v>100</v>
      </c>
      <c r="D21" s="205" t="s">
        <v>1505</v>
      </c>
      <c r="E21" s="211" t="s">
        <v>1506</v>
      </c>
      <c r="F21" s="211" t="s">
        <v>77</v>
      </c>
      <c r="G21" s="208">
        <v>203789</v>
      </c>
      <c r="H21" s="136" t="s">
        <v>1475</v>
      </c>
      <c r="I21" s="205" t="s">
        <v>27</v>
      </c>
      <c r="J21" s="213" t="s">
        <v>27</v>
      </c>
      <c r="K21" s="213" t="s">
        <v>27</v>
      </c>
      <c r="L21" s="213" t="s">
        <v>27</v>
      </c>
      <c r="M21" s="205" t="s">
        <v>27</v>
      </c>
      <c r="N21" s="205" t="s">
        <v>62</v>
      </c>
      <c r="O21" s="204">
        <f t="shared" si="0"/>
        <v>2023</v>
      </c>
      <c r="P21" s="215"/>
    </row>
    <row r="22" spans="1:16" x14ac:dyDescent="0.35">
      <c r="A22" s="203" t="s">
        <v>1507</v>
      </c>
      <c r="B22" s="204" t="s">
        <v>257</v>
      </c>
      <c r="C22" s="205" t="s">
        <v>48</v>
      </c>
      <c r="D22" s="205" t="s">
        <v>1508</v>
      </c>
      <c r="E22" s="211" t="s">
        <v>1509</v>
      </c>
      <c r="F22" s="211" t="s">
        <v>53</v>
      </c>
      <c r="G22" s="208">
        <v>-80000</v>
      </c>
      <c r="H22" s="136" t="s">
        <v>781</v>
      </c>
      <c r="I22" s="205" t="s">
        <v>27</v>
      </c>
      <c r="J22" s="209" t="s">
        <v>28</v>
      </c>
      <c r="K22" s="205"/>
      <c r="L22" s="205"/>
      <c r="M22" s="205"/>
      <c r="N22" s="44" t="s">
        <v>1492</v>
      </c>
      <c r="O22" s="204">
        <f t="shared" si="0"/>
        <v>2024</v>
      </c>
      <c r="P22" s="215">
        <v>46045</v>
      </c>
    </row>
    <row r="23" spans="1:16" s="228" customFormat="1" x14ac:dyDescent="0.35">
      <c r="A23" s="218" t="s">
        <v>1496</v>
      </c>
      <c r="B23" s="219" t="s">
        <v>1482</v>
      </c>
      <c r="C23" s="220" t="s">
        <v>48</v>
      </c>
      <c r="D23" s="221" t="s">
        <v>1510</v>
      </c>
      <c r="E23" s="222" t="s">
        <v>1511</v>
      </c>
      <c r="F23" s="223" t="s">
        <v>25</v>
      </c>
      <c r="G23" s="224">
        <v>5500</v>
      </c>
      <c r="H23" s="221" t="s">
        <v>781</v>
      </c>
      <c r="I23" s="220" t="s">
        <v>27</v>
      </c>
      <c r="J23" s="220" t="s">
        <v>27</v>
      </c>
      <c r="K23" s="220" t="s">
        <v>27</v>
      </c>
      <c r="L23" s="225" t="s">
        <v>28</v>
      </c>
      <c r="M23" s="221"/>
      <c r="N23" s="221" t="s">
        <v>1512</v>
      </c>
      <c r="O23" s="226">
        <f t="shared" si="0"/>
        <v>2024</v>
      </c>
      <c r="P23" s="227">
        <v>46115</v>
      </c>
    </row>
    <row r="24" spans="1:16" x14ac:dyDescent="0.35">
      <c r="A24" s="229" t="s">
        <v>175</v>
      </c>
      <c r="B24" s="226" t="s">
        <v>176</v>
      </c>
      <c r="C24" s="220" t="s">
        <v>48</v>
      </c>
      <c r="D24" s="220" t="s">
        <v>1513</v>
      </c>
      <c r="E24" s="230" t="s">
        <v>1514</v>
      </c>
      <c r="F24" s="223" t="s">
        <v>25</v>
      </c>
      <c r="G24" s="224">
        <v>38000</v>
      </c>
      <c r="H24" s="141" t="s">
        <v>1475</v>
      </c>
      <c r="I24" s="220" t="s">
        <v>27</v>
      </c>
      <c r="J24" s="231" t="s">
        <v>27</v>
      </c>
      <c r="K24" s="231" t="s">
        <v>27</v>
      </c>
      <c r="L24" s="231" t="s">
        <v>27</v>
      </c>
      <c r="M24" s="220" t="s">
        <v>27</v>
      </c>
      <c r="N24" s="232"/>
      <c r="O24" s="226">
        <f>IFERROR(2000 + VALUE(LEFT(A24,2)), "")</f>
        <v>2025</v>
      </c>
      <c r="P24" s="233"/>
    </row>
    <row r="25" spans="1:16" x14ac:dyDescent="0.35">
      <c r="A25" s="234" t="s">
        <v>95</v>
      </c>
      <c r="B25" s="235" t="s">
        <v>1323</v>
      </c>
      <c r="C25" s="205" t="s">
        <v>82</v>
      </c>
      <c r="D25" s="205" t="s">
        <v>1497</v>
      </c>
      <c r="E25" s="236" t="s">
        <v>1515</v>
      </c>
      <c r="F25" s="211" t="s">
        <v>247</v>
      </c>
      <c r="G25" s="208">
        <v>800</v>
      </c>
      <c r="H25" s="237" t="s">
        <v>1516</v>
      </c>
      <c r="I25" s="220" t="s">
        <v>27</v>
      </c>
      <c r="J25" s="231" t="s">
        <v>27</v>
      </c>
      <c r="K25" s="231" t="s">
        <v>27</v>
      </c>
      <c r="L25" s="225" t="s">
        <v>28</v>
      </c>
      <c r="M25" s="220" t="s">
        <v>27</v>
      </c>
      <c r="N25" s="221" t="s">
        <v>1512</v>
      </c>
      <c r="O25" s="204">
        <f t="shared" ref="O25:O27" si="1">IFERROR(2000 + VALUE(LEFT(A25,2)), "")</f>
        <v>2026</v>
      </c>
      <c r="P25" s="215">
        <v>46184</v>
      </c>
    </row>
    <row r="26" spans="1:16" x14ac:dyDescent="0.35">
      <c r="A26" s="203" t="s">
        <v>1240</v>
      </c>
      <c r="B26" s="204" t="s">
        <v>340</v>
      </c>
      <c r="C26" s="238" t="s">
        <v>48</v>
      </c>
      <c r="D26" s="205" t="s">
        <v>1517</v>
      </c>
      <c r="E26" s="211" t="s">
        <v>1349</v>
      </c>
      <c r="F26" s="239" t="s">
        <v>25</v>
      </c>
      <c r="G26" s="208">
        <v>17000</v>
      </c>
      <c r="H26" s="141" t="s">
        <v>1475</v>
      </c>
      <c r="I26" s="220" t="s">
        <v>27</v>
      </c>
      <c r="J26" s="231" t="s">
        <v>27</v>
      </c>
      <c r="K26" s="231" t="s">
        <v>27</v>
      </c>
      <c r="L26" s="231" t="s">
        <v>27</v>
      </c>
      <c r="M26" s="220" t="s">
        <v>27</v>
      </c>
      <c r="N26" s="240"/>
      <c r="O26" s="204">
        <f t="shared" si="1"/>
        <v>2024</v>
      </c>
      <c r="P26" s="215"/>
    </row>
    <row r="27" spans="1:16" x14ac:dyDescent="0.35">
      <c r="A27" s="203" t="s">
        <v>1195</v>
      </c>
      <c r="B27" s="204" t="s">
        <v>320</v>
      </c>
      <c r="C27" s="205" t="s">
        <v>42</v>
      </c>
      <c r="D27" s="205" t="s">
        <v>1478</v>
      </c>
      <c r="E27" s="211" t="s">
        <v>1518</v>
      </c>
      <c r="F27" s="239" t="s">
        <v>25</v>
      </c>
      <c r="G27" s="208">
        <v>-148537.5</v>
      </c>
      <c r="H27" s="141" t="s">
        <v>1475</v>
      </c>
      <c r="I27" s="220" t="s">
        <v>27</v>
      </c>
      <c r="J27" s="231" t="s">
        <v>27</v>
      </c>
      <c r="K27" s="231" t="s">
        <v>27</v>
      </c>
      <c r="L27" s="231" t="s">
        <v>27</v>
      </c>
      <c r="M27" s="220" t="s">
        <v>27</v>
      </c>
      <c r="N27" s="240"/>
      <c r="O27" s="204">
        <f t="shared" si="1"/>
        <v>2024</v>
      </c>
      <c r="P27" s="215"/>
    </row>
  </sheetData>
  <conditionalFormatting sqref="I1:M1048576 N21">
    <cfRule type="containsText" dxfId="5" priority="3" operator="containsText" text="Complete">
      <formula>NOT(ISERROR(SEARCH("Complete",I1)))</formula>
    </cfRule>
    <cfRule type="containsText" dxfId="4" priority="4" operator="containsText" text="Pending">
      <formula>NOT(ISERROR(SEARCH("Pending",I1)))</formula>
    </cfRule>
  </conditionalFormatting>
  <conditionalFormatting sqref="N2:N20 N22:N46">
    <cfRule type="notContainsBlanks" dxfId="3" priority="2">
      <formula>LEN(TRIM(N2))&gt;0</formula>
    </cfRule>
  </conditionalFormatting>
  <pageMargins left="0.25" right="0.25" top="0.25" bottom="0.25" header="0" footer="0"/>
  <pageSetup paperSize="9" scale="66" fitToHeight="0" orientation="landscape" horizontalDpi="4294967292" verticalDpi="4294967292"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9DF72-08BF-43AD-940F-301E9F5927B4}">
  <sheetPr codeName="Sheet3">
    <tabColor rgb="FFFFFF99"/>
    <pageSetUpPr fitToPage="1"/>
  </sheetPr>
  <dimension ref="A1:S503"/>
  <sheetViews>
    <sheetView zoomScale="50" zoomScaleNormal="50" workbookViewId="0">
      <pane ySplit="1" topLeftCell="A2" activePane="bottomLeft" state="frozen"/>
      <selection activeCell="H1" sqref="H1"/>
      <selection pane="bottomLeft" activeCell="D56" sqref="D56"/>
    </sheetView>
  </sheetViews>
  <sheetFormatPr defaultColWidth="9.1796875" defaultRowHeight="15" customHeight="1" x14ac:dyDescent="0.35"/>
  <cols>
    <col min="1" max="1" width="20.26953125" style="10" bestFit="1" customWidth="1"/>
    <col min="2" max="2" width="72" style="10" bestFit="1" customWidth="1"/>
    <col min="3" max="3" width="18.453125" style="10" bestFit="1" customWidth="1"/>
    <col min="4" max="4" width="50.54296875" style="10" bestFit="1" customWidth="1"/>
    <col min="5" max="5" width="79.81640625" style="10" bestFit="1" customWidth="1"/>
    <col min="6" max="6" width="11.453125" style="1" bestFit="1" customWidth="1"/>
    <col min="7" max="7" width="14.81640625" style="68" bestFit="1" customWidth="1"/>
    <col min="8" max="8" width="21.7265625" style="5" bestFit="1" customWidth="1"/>
    <col min="9" max="9" width="21.453125" style="5" bestFit="1" customWidth="1"/>
    <col min="10" max="10" width="36.26953125" style="5" bestFit="1" customWidth="1"/>
    <col min="11" max="11" width="57.26953125" style="5" bestFit="1" customWidth="1"/>
    <col min="12" max="12" width="40.54296875" style="5" bestFit="1" customWidth="1"/>
    <col min="13" max="13" width="30.26953125" style="5" bestFit="1" customWidth="1"/>
    <col min="14" max="14" width="56" style="5" bestFit="1" customWidth="1"/>
    <col min="15" max="15" width="49.26953125" style="5" bestFit="1" customWidth="1"/>
    <col min="16" max="16" width="25.54296875" style="5" bestFit="1" customWidth="1"/>
    <col min="17" max="17" width="89.26953125" style="5" bestFit="1" customWidth="1"/>
    <col min="18" max="18" width="7.26953125" style="1" bestFit="1" customWidth="1"/>
    <col min="19" max="19" width="12.1796875" style="1" bestFit="1" customWidth="1"/>
    <col min="20" max="16384" width="9.1796875" style="1"/>
  </cols>
  <sheetData>
    <row r="1" spans="1:19" ht="14.5" x14ac:dyDescent="0.35">
      <c r="A1" s="69" t="s">
        <v>648</v>
      </c>
      <c r="B1" s="69" t="s">
        <v>1</v>
      </c>
      <c r="C1" s="69" t="s">
        <v>3</v>
      </c>
      <c r="D1" s="69" t="s">
        <v>1519</v>
      </c>
      <c r="E1" s="69" t="s">
        <v>650</v>
      </c>
      <c r="F1" s="69" t="s">
        <v>5</v>
      </c>
      <c r="G1" s="70" t="s">
        <v>651</v>
      </c>
      <c r="H1" s="71" t="s">
        <v>1450</v>
      </c>
      <c r="I1" s="71" t="s">
        <v>1520</v>
      </c>
      <c r="J1" s="71" t="s">
        <v>1521</v>
      </c>
      <c r="K1" s="71" t="s">
        <v>1522</v>
      </c>
      <c r="L1" s="71" t="s">
        <v>1523</v>
      </c>
      <c r="M1" s="71" t="s">
        <v>12</v>
      </c>
      <c r="N1" s="71" t="s">
        <v>1524</v>
      </c>
      <c r="O1" s="71" t="s">
        <v>1525</v>
      </c>
      <c r="P1" s="71" t="s">
        <v>1526</v>
      </c>
      <c r="Q1" s="58" t="s">
        <v>17</v>
      </c>
      <c r="R1" s="33" t="s">
        <v>18</v>
      </c>
      <c r="S1" s="71" t="s">
        <v>19</v>
      </c>
    </row>
    <row r="2" spans="1:19" ht="14.5" x14ac:dyDescent="0.35">
      <c r="A2" s="7" t="s">
        <v>660</v>
      </c>
      <c r="B2" s="7" t="s">
        <v>661</v>
      </c>
      <c r="C2" s="7" t="s">
        <v>42</v>
      </c>
      <c r="D2" s="7" t="s">
        <v>1527</v>
      </c>
      <c r="E2" s="7" t="s">
        <v>662</v>
      </c>
      <c r="F2" s="8" t="s">
        <v>25</v>
      </c>
      <c r="G2" s="60">
        <v>7000</v>
      </c>
      <c r="H2" s="6" t="s">
        <v>1475</v>
      </c>
      <c r="I2" s="6" t="s">
        <v>27</v>
      </c>
      <c r="J2" s="6" t="s">
        <v>27</v>
      </c>
      <c r="K2" s="6" t="s">
        <v>27</v>
      </c>
      <c r="L2" s="6" t="s">
        <v>27</v>
      </c>
      <c r="M2" s="6" t="s">
        <v>27</v>
      </c>
      <c r="N2" s="6" t="s">
        <v>27</v>
      </c>
      <c r="O2" s="6" t="s">
        <v>27</v>
      </c>
      <c r="P2" s="6" t="s">
        <v>27</v>
      </c>
      <c r="Q2" s="6"/>
      <c r="R2" s="33">
        <f>IFERROR(2000+VALUE(LEFT(A2,2)),"")</f>
        <v>2020</v>
      </c>
      <c r="S2" s="33"/>
    </row>
    <row r="3" spans="1:19" ht="14.5" x14ac:dyDescent="0.35">
      <c r="A3" s="7" t="s">
        <v>660</v>
      </c>
      <c r="B3" s="7" t="s">
        <v>661</v>
      </c>
      <c r="C3" s="7" t="s">
        <v>42</v>
      </c>
      <c r="D3" s="7" t="s">
        <v>1478</v>
      </c>
      <c r="E3" s="7" t="s">
        <v>1528</v>
      </c>
      <c r="F3" s="8" t="s">
        <v>25</v>
      </c>
      <c r="G3" s="60">
        <v>360000</v>
      </c>
      <c r="H3" s="6" t="s">
        <v>1475</v>
      </c>
      <c r="I3" s="6" t="s">
        <v>27</v>
      </c>
      <c r="J3" s="6" t="s">
        <v>27</v>
      </c>
      <c r="K3" s="6" t="s">
        <v>27</v>
      </c>
      <c r="L3" s="6" t="s">
        <v>27</v>
      </c>
      <c r="M3" s="6" t="s">
        <v>27</v>
      </c>
      <c r="N3" s="6" t="s">
        <v>27</v>
      </c>
      <c r="O3" s="6" t="s">
        <v>27</v>
      </c>
      <c r="P3" s="6" t="s">
        <v>27</v>
      </c>
      <c r="Q3" s="6"/>
      <c r="R3" s="33">
        <f t="shared" ref="R3:R66" si="0">IFERROR(2000+VALUE(LEFT(A3,2)),"")</f>
        <v>2020</v>
      </c>
      <c r="S3" s="33"/>
    </row>
    <row r="4" spans="1:19" ht="14.5" x14ac:dyDescent="0.35">
      <c r="A4" s="7" t="s">
        <v>660</v>
      </c>
      <c r="B4" s="7" t="s">
        <v>661</v>
      </c>
      <c r="C4" s="7" t="s">
        <v>42</v>
      </c>
      <c r="D4" s="7" t="s">
        <v>1529</v>
      </c>
      <c r="E4" s="7" t="s">
        <v>1530</v>
      </c>
      <c r="F4" s="8" t="s">
        <v>25</v>
      </c>
      <c r="G4" s="60">
        <v>30000</v>
      </c>
      <c r="H4" s="6" t="s">
        <v>1475</v>
      </c>
      <c r="I4" s="6" t="s">
        <v>27</v>
      </c>
      <c r="J4" s="6" t="s">
        <v>27</v>
      </c>
      <c r="K4" s="6" t="s">
        <v>27</v>
      </c>
      <c r="L4" s="6" t="s">
        <v>27</v>
      </c>
      <c r="M4" s="6" t="s">
        <v>27</v>
      </c>
      <c r="N4" s="6" t="s">
        <v>27</v>
      </c>
      <c r="O4" s="6" t="s">
        <v>27</v>
      </c>
      <c r="P4" s="6" t="s">
        <v>27</v>
      </c>
      <c r="Q4" s="6"/>
      <c r="R4" s="33">
        <f t="shared" si="0"/>
        <v>2020</v>
      </c>
      <c r="S4" s="33"/>
    </row>
    <row r="5" spans="1:19" ht="14.5" x14ac:dyDescent="0.35">
      <c r="A5" s="7" t="s">
        <v>660</v>
      </c>
      <c r="B5" s="7" t="s">
        <v>661</v>
      </c>
      <c r="C5" s="7" t="s">
        <v>42</v>
      </c>
      <c r="D5" s="7" t="s">
        <v>1478</v>
      </c>
      <c r="E5" s="7" t="s">
        <v>1531</v>
      </c>
      <c r="F5" s="8" t="s">
        <v>25</v>
      </c>
      <c r="G5" s="60">
        <v>58000</v>
      </c>
      <c r="H5" s="6" t="s">
        <v>1475</v>
      </c>
      <c r="I5" s="6" t="s">
        <v>27</v>
      </c>
      <c r="J5" s="6" t="s">
        <v>27</v>
      </c>
      <c r="K5" s="6" t="s">
        <v>27</v>
      </c>
      <c r="L5" s="6" t="s">
        <v>27</v>
      </c>
      <c r="M5" s="6" t="s">
        <v>27</v>
      </c>
      <c r="N5" s="6" t="s">
        <v>27</v>
      </c>
      <c r="O5" s="6" t="s">
        <v>27</v>
      </c>
      <c r="P5" s="6" t="s">
        <v>27</v>
      </c>
      <c r="Q5" s="6"/>
      <c r="R5" s="33">
        <f t="shared" si="0"/>
        <v>2020</v>
      </c>
      <c r="S5" s="33"/>
    </row>
    <row r="6" spans="1:19" ht="14.5" x14ac:dyDescent="0.35">
      <c r="A6" s="7" t="s">
        <v>660</v>
      </c>
      <c r="B6" s="7" t="s">
        <v>661</v>
      </c>
      <c r="C6" s="7" t="s">
        <v>42</v>
      </c>
      <c r="D6" s="7" t="s">
        <v>1532</v>
      </c>
      <c r="E6" s="7" t="s">
        <v>1533</v>
      </c>
      <c r="F6" s="8" t="s">
        <v>25</v>
      </c>
      <c r="G6" s="60">
        <v>100000</v>
      </c>
      <c r="H6" s="6" t="s">
        <v>1475</v>
      </c>
      <c r="I6" s="6" t="s">
        <v>27</v>
      </c>
      <c r="J6" s="6" t="s">
        <v>27</v>
      </c>
      <c r="K6" s="6" t="s">
        <v>27</v>
      </c>
      <c r="L6" s="6" t="s">
        <v>27</v>
      </c>
      <c r="M6" s="6" t="s">
        <v>27</v>
      </c>
      <c r="N6" s="6" t="s">
        <v>27</v>
      </c>
      <c r="O6" s="6" t="s">
        <v>27</v>
      </c>
      <c r="P6" s="6" t="s">
        <v>27</v>
      </c>
      <c r="Q6" s="6"/>
      <c r="R6" s="33">
        <f t="shared" si="0"/>
        <v>2020</v>
      </c>
      <c r="S6" s="33"/>
    </row>
    <row r="7" spans="1:19" ht="14.5" x14ac:dyDescent="0.35">
      <c r="A7" s="7" t="s">
        <v>660</v>
      </c>
      <c r="B7" s="7" t="s">
        <v>661</v>
      </c>
      <c r="C7" s="7" t="s">
        <v>42</v>
      </c>
      <c r="D7" s="7" t="s">
        <v>1534</v>
      </c>
      <c r="E7" s="7" t="s">
        <v>1535</v>
      </c>
      <c r="F7" s="8" t="s">
        <v>25</v>
      </c>
      <c r="G7" s="60">
        <v>10000</v>
      </c>
      <c r="H7" s="6" t="s">
        <v>1475</v>
      </c>
      <c r="I7" s="6" t="s">
        <v>27</v>
      </c>
      <c r="J7" s="6" t="s">
        <v>27</v>
      </c>
      <c r="K7" s="6" t="s">
        <v>27</v>
      </c>
      <c r="L7" s="6" t="s">
        <v>27</v>
      </c>
      <c r="M7" s="6" t="s">
        <v>27</v>
      </c>
      <c r="N7" s="6" t="s">
        <v>27</v>
      </c>
      <c r="O7" s="6" t="s">
        <v>27</v>
      </c>
      <c r="P7" s="6" t="s">
        <v>27</v>
      </c>
      <c r="Q7" s="6"/>
      <c r="R7" s="33">
        <f t="shared" si="0"/>
        <v>2020</v>
      </c>
      <c r="S7" s="33"/>
    </row>
    <row r="8" spans="1:19" ht="14.5" x14ac:dyDescent="0.35">
      <c r="A8" s="7" t="s">
        <v>660</v>
      </c>
      <c r="B8" s="7" t="s">
        <v>661</v>
      </c>
      <c r="C8" s="7" t="s">
        <v>42</v>
      </c>
      <c r="D8" s="7" t="s">
        <v>1536</v>
      </c>
      <c r="E8" s="7" t="s">
        <v>1537</v>
      </c>
      <c r="F8" s="8" t="s">
        <v>44</v>
      </c>
      <c r="G8" s="60">
        <v>250000</v>
      </c>
      <c r="H8" s="6" t="s">
        <v>1475</v>
      </c>
      <c r="I8" s="6" t="s">
        <v>27</v>
      </c>
      <c r="J8" s="6" t="s">
        <v>27</v>
      </c>
      <c r="K8" s="6" t="s">
        <v>27</v>
      </c>
      <c r="L8" s="6" t="s">
        <v>27</v>
      </c>
      <c r="M8" s="6" t="s">
        <v>27</v>
      </c>
      <c r="N8" s="6" t="s">
        <v>27</v>
      </c>
      <c r="O8" s="6" t="s">
        <v>27</v>
      </c>
      <c r="P8" s="6" t="s">
        <v>27</v>
      </c>
      <c r="Q8" s="6"/>
      <c r="R8" s="33">
        <f t="shared" si="0"/>
        <v>2020</v>
      </c>
      <c r="S8" s="33"/>
    </row>
    <row r="9" spans="1:19" ht="14.5" x14ac:dyDescent="0.35">
      <c r="A9" s="7" t="s">
        <v>660</v>
      </c>
      <c r="B9" s="7" t="s">
        <v>661</v>
      </c>
      <c r="C9" s="7" t="s">
        <v>42</v>
      </c>
      <c r="D9" s="7" t="s">
        <v>1538</v>
      </c>
      <c r="E9" s="7" t="s">
        <v>1539</v>
      </c>
      <c r="F9" s="8" t="s">
        <v>25</v>
      </c>
      <c r="G9" s="60">
        <v>786000</v>
      </c>
      <c r="H9" s="6" t="s">
        <v>1475</v>
      </c>
      <c r="I9" s="6" t="s">
        <v>27</v>
      </c>
      <c r="J9" s="6" t="s">
        <v>27</v>
      </c>
      <c r="K9" s="6" t="s">
        <v>27</v>
      </c>
      <c r="L9" s="6" t="s">
        <v>27</v>
      </c>
      <c r="M9" s="6" t="s">
        <v>27</v>
      </c>
      <c r="N9" s="6" t="s">
        <v>27</v>
      </c>
      <c r="O9" s="6" t="s">
        <v>27</v>
      </c>
      <c r="P9" s="6" t="s">
        <v>27</v>
      </c>
      <c r="Q9" s="6"/>
      <c r="R9" s="33">
        <f t="shared" si="0"/>
        <v>2020</v>
      </c>
      <c r="S9" s="33"/>
    </row>
    <row r="10" spans="1:19" ht="14.5" x14ac:dyDescent="0.35">
      <c r="A10" s="7" t="s">
        <v>660</v>
      </c>
      <c r="B10" s="7" t="s">
        <v>661</v>
      </c>
      <c r="C10" s="7" t="s">
        <v>42</v>
      </c>
      <c r="D10" s="7" t="s">
        <v>1540</v>
      </c>
      <c r="E10" s="7" t="s">
        <v>1541</v>
      </c>
      <c r="F10" s="8" t="s">
        <v>25</v>
      </c>
      <c r="G10" s="60">
        <v>1380000</v>
      </c>
      <c r="H10" s="6" t="s">
        <v>1475</v>
      </c>
      <c r="I10" s="6" t="s">
        <v>27</v>
      </c>
      <c r="J10" s="6" t="s">
        <v>27</v>
      </c>
      <c r="K10" s="6" t="s">
        <v>27</v>
      </c>
      <c r="L10" s="6" t="s">
        <v>27</v>
      </c>
      <c r="M10" s="6" t="s">
        <v>27</v>
      </c>
      <c r="N10" s="6" t="s">
        <v>27</v>
      </c>
      <c r="O10" s="6" t="s">
        <v>27</v>
      </c>
      <c r="P10" s="6" t="s">
        <v>27</v>
      </c>
      <c r="Q10" s="6"/>
      <c r="R10" s="33">
        <f t="shared" si="0"/>
        <v>2020</v>
      </c>
      <c r="S10" s="33"/>
    </row>
    <row r="11" spans="1:19" ht="14.5" x14ac:dyDescent="0.35">
      <c r="A11" s="7" t="s">
        <v>1542</v>
      </c>
      <c r="B11" s="7" t="s">
        <v>715</v>
      </c>
      <c r="C11" s="7" t="s">
        <v>23</v>
      </c>
      <c r="D11" s="7" t="s">
        <v>1527</v>
      </c>
      <c r="E11" s="7" t="s">
        <v>662</v>
      </c>
      <c r="F11" s="8" t="s">
        <v>25</v>
      </c>
      <c r="G11" s="60">
        <v>5400</v>
      </c>
      <c r="H11" s="6" t="s">
        <v>1475</v>
      </c>
      <c r="I11" s="6" t="s">
        <v>27</v>
      </c>
      <c r="J11" s="6" t="s">
        <v>27</v>
      </c>
      <c r="K11" s="6" t="s">
        <v>27</v>
      </c>
      <c r="L11" s="6" t="s">
        <v>27</v>
      </c>
      <c r="M11" s="6" t="s">
        <v>27</v>
      </c>
      <c r="N11" s="6" t="s">
        <v>27</v>
      </c>
      <c r="O11" s="6" t="s">
        <v>27</v>
      </c>
      <c r="P11" s="6" t="s">
        <v>27</v>
      </c>
      <c r="Q11" s="6"/>
      <c r="R11" s="33">
        <f t="shared" si="0"/>
        <v>2020</v>
      </c>
      <c r="S11" s="36"/>
    </row>
    <row r="12" spans="1:19" ht="14.5" x14ac:dyDescent="0.35">
      <c r="A12" s="7" t="s">
        <v>1542</v>
      </c>
      <c r="B12" s="7" t="s">
        <v>715</v>
      </c>
      <c r="C12" s="7" t="s">
        <v>23</v>
      </c>
      <c r="D12" s="7" t="s">
        <v>1543</v>
      </c>
      <c r="E12" s="7" t="s">
        <v>1183</v>
      </c>
      <c r="F12" s="8" t="s">
        <v>25</v>
      </c>
      <c r="G12" s="60">
        <v>2800</v>
      </c>
      <c r="H12" s="6" t="s">
        <v>1475</v>
      </c>
      <c r="I12" s="6" t="s">
        <v>27</v>
      </c>
      <c r="J12" s="6" t="s">
        <v>27</v>
      </c>
      <c r="K12" s="6" t="s">
        <v>27</v>
      </c>
      <c r="L12" s="6" t="s">
        <v>27</v>
      </c>
      <c r="M12" s="6" t="s">
        <v>27</v>
      </c>
      <c r="N12" s="6" t="s">
        <v>27</v>
      </c>
      <c r="O12" s="6" t="s">
        <v>27</v>
      </c>
      <c r="P12" s="6" t="s">
        <v>27</v>
      </c>
      <c r="Q12" s="6"/>
      <c r="R12" s="33">
        <f t="shared" si="0"/>
        <v>2020</v>
      </c>
      <c r="S12" s="36"/>
    </row>
    <row r="13" spans="1:19" ht="14.5" x14ac:dyDescent="0.35">
      <c r="A13" s="7" t="s">
        <v>718</v>
      </c>
      <c r="B13" s="7" t="s">
        <v>719</v>
      </c>
      <c r="C13" s="7" t="s">
        <v>23</v>
      </c>
      <c r="D13" s="7" t="s">
        <v>1544</v>
      </c>
      <c r="E13" s="7" t="s">
        <v>662</v>
      </c>
      <c r="F13" s="8" t="s">
        <v>25</v>
      </c>
      <c r="G13" s="60">
        <v>44952.38</v>
      </c>
      <c r="H13" s="6" t="s">
        <v>1475</v>
      </c>
      <c r="I13" s="6" t="s">
        <v>27</v>
      </c>
      <c r="J13" s="6" t="s">
        <v>27</v>
      </c>
      <c r="K13" s="6" t="s">
        <v>27</v>
      </c>
      <c r="L13" s="6" t="s">
        <v>27</v>
      </c>
      <c r="M13" s="6" t="s">
        <v>27</v>
      </c>
      <c r="N13" s="6" t="s">
        <v>27</v>
      </c>
      <c r="O13" s="6" t="s">
        <v>27</v>
      </c>
      <c r="P13" s="6" t="s">
        <v>27</v>
      </c>
      <c r="Q13" s="6"/>
      <c r="R13" s="33">
        <f t="shared" si="0"/>
        <v>2020</v>
      </c>
      <c r="S13" s="36"/>
    </row>
    <row r="14" spans="1:19" ht="14.5" x14ac:dyDescent="0.35">
      <c r="A14" s="7" t="s">
        <v>718</v>
      </c>
      <c r="B14" s="7" t="s">
        <v>719</v>
      </c>
      <c r="C14" s="7" t="s">
        <v>23</v>
      </c>
      <c r="D14" s="7" t="s">
        <v>1545</v>
      </c>
      <c r="E14" s="7" t="s">
        <v>1183</v>
      </c>
      <c r="F14" s="8" t="s">
        <v>25</v>
      </c>
      <c r="G14" s="60">
        <v>2800</v>
      </c>
      <c r="H14" s="6" t="s">
        <v>1475</v>
      </c>
      <c r="I14" s="6" t="s">
        <v>27</v>
      </c>
      <c r="J14" s="6" t="s">
        <v>27</v>
      </c>
      <c r="K14" s="6" t="s">
        <v>27</v>
      </c>
      <c r="L14" s="6" t="s">
        <v>27</v>
      </c>
      <c r="M14" s="6" t="s">
        <v>27</v>
      </c>
      <c r="N14" s="6" t="s">
        <v>27</v>
      </c>
      <c r="O14" s="6" t="s">
        <v>27</v>
      </c>
      <c r="P14" s="6" t="s">
        <v>27</v>
      </c>
      <c r="Q14" s="6"/>
      <c r="R14" s="33">
        <f t="shared" si="0"/>
        <v>2020</v>
      </c>
      <c r="S14" s="36"/>
    </row>
    <row r="15" spans="1:19" ht="14.5" x14ac:dyDescent="0.35">
      <c r="A15" s="7" t="s">
        <v>1546</v>
      </c>
      <c r="B15" s="7" t="s">
        <v>1547</v>
      </c>
      <c r="C15" s="7" t="s">
        <v>37</v>
      </c>
      <c r="D15" s="7" t="s">
        <v>1548</v>
      </c>
      <c r="E15" s="7" t="s">
        <v>1183</v>
      </c>
      <c r="F15" s="8" t="s">
        <v>25</v>
      </c>
      <c r="G15" s="60">
        <v>2000</v>
      </c>
      <c r="H15" s="6" t="s">
        <v>1475</v>
      </c>
      <c r="I15" s="6" t="s">
        <v>27</v>
      </c>
      <c r="J15" s="6" t="s">
        <v>27</v>
      </c>
      <c r="K15" s="6" t="s">
        <v>27</v>
      </c>
      <c r="L15" s="6" t="s">
        <v>27</v>
      </c>
      <c r="M15" s="6" t="s">
        <v>27</v>
      </c>
      <c r="N15" s="6" t="s">
        <v>27</v>
      </c>
      <c r="O15" s="6" t="s">
        <v>27</v>
      </c>
      <c r="P15" s="6" t="s">
        <v>27</v>
      </c>
      <c r="Q15" s="6"/>
      <c r="R15" s="33">
        <f t="shared" si="0"/>
        <v>2020</v>
      </c>
      <c r="S15" s="33"/>
    </row>
    <row r="16" spans="1:19" ht="14.5" x14ac:dyDescent="0.35">
      <c r="A16" s="7" t="s">
        <v>1546</v>
      </c>
      <c r="B16" s="7" t="s">
        <v>1547</v>
      </c>
      <c r="C16" s="7" t="s">
        <v>37</v>
      </c>
      <c r="D16" s="7" t="s">
        <v>1545</v>
      </c>
      <c r="E16" s="7" t="s">
        <v>1183</v>
      </c>
      <c r="F16" s="8" t="s">
        <v>25</v>
      </c>
      <c r="G16" s="60">
        <v>1400</v>
      </c>
      <c r="H16" s="6" t="s">
        <v>1475</v>
      </c>
      <c r="I16" s="6" t="s">
        <v>27</v>
      </c>
      <c r="J16" s="6" t="s">
        <v>27</v>
      </c>
      <c r="K16" s="6" t="s">
        <v>27</v>
      </c>
      <c r="L16" s="6" t="s">
        <v>27</v>
      </c>
      <c r="M16" s="6" t="s">
        <v>27</v>
      </c>
      <c r="N16" s="6" t="s">
        <v>27</v>
      </c>
      <c r="O16" s="6" t="s">
        <v>27</v>
      </c>
      <c r="P16" s="6" t="s">
        <v>27</v>
      </c>
      <c r="Q16" s="6"/>
      <c r="R16" s="33">
        <f t="shared" si="0"/>
        <v>2020</v>
      </c>
      <c r="S16" s="33"/>
    </row>
    <row r="17" spans="1:19" ht="14.5" x14ac:dyDescent="0.35">
      <c r="A17" s="7" t="s">
        <v>1549</v>
      </c>
      <c r="B17" s="7" t="s">
        <v>1550</v>
      </c>
      <c r="C17" s="7" t="s">
        <v>42</v>
      </c>
      <c r="D17" s="7" t="s">
        <v>1527</v>
      </c>
      <c r="E17" s="7" t="s">
        <v>662</v>
      </c>
      <c r="F17" s="8" t="s">
        <v>25</v>
      </c>
      <c r="G17" s="60">
        <v>5400</v>
      </c>
      <c r="H17" s="6" t="s">
        <v>1475</v>
      </c>
      <c r="I17" s="6" t="s">
        <v>27</v>
      </c>
      <c r="J17" s="6" t="s">
        <v>27</v>
      </c>
      <c r="K17" s="6" t="s">
        <v>27</v>
      </c>
      <c r="L17" s="6" t="s">
        <v>27</v>
      </c>
      <c r="M17" s="6" t="s">
        <v>27</v>
      </c>
      <c r="N17" s="6" t="s">
        <v>27</v>
      </c>
      <c r="O17" s="6" t="s">
        <v>27</v>
      </c>
      <c r="P17" s="6" t="s">
        <v>27</v>
      </c>
      <c r="Q17" s="6"/>
      <c r="R17" s="33">
        <f t="shared" si="0"/>
        <v>2020</v>
      </c>
      <c r="S17" s="33"/>
    </row>
    <row r="18" spans="1:19" ht="14.5" x14ac:dyDescent="0.35">
      <c r="A18" s="7" t="s">
        <v>1549</v>
      </c>
      <c r="B18" s="7" t="s">
        <v>1550</v>
      </c>
      <c r="C18" s="7" t="s">
        <v>42</v>
      </c>
      <c r="D18" s="7" t="s">
        <v>1483</v>
      </c>
      <c r="E18" s="7" t="s">
        <v>1551</v>
      </c>
      <c r="F18" s="8" t="s">
        <v>25</v>
      </c>
      <c r="G18" s="60">
        <v>40985</v>
      </c>
      <c r="H18" s="6" t="s">
        <v>1475</v>
      </c>
      <c r="I18" s="6" t="s">
        <v>27</v>
      </c>
      <c r="J18" s="6" t="s">
        <v>27</v>
      </c>
      <c r="K18" s="6" t="s">
        <v>27</v>
      </c>
      <c r="L18" s="6" t="s">
        <v>27</v>
      </c>
      <c r="M18" s="6" t="s">
        <v>27</v>
      </c>
      <c r="N18" s="6" t="s">
        <v>27</v>
      </c>
      <c r="O18" s="6" t="s">
        <v>27</v>
      </c>
      <c r="P18" s="6" t="s">
        <v>27</v>
      </c>
      <c r="Q18" s="6"/>
      <c r="R18" s="33">
        <f t="shared" si="0"/>
        <v>2020</v>
      </c>
      <c r="S18" s="33"/>
    </row>
    <row r="19" spans="1:19" ht="14.5" x14ac:dyDescent="0.35">
      <c r="A19" s="7" t="s">
        <v>1552</v>
      </c>
      <c r="B19" s="7" t="s">
        <v>1553</v>
      </c>
      <c r="C19" s="7" t="s">
        <v>42</v>
      </c>
      <c r="D19" s="7" t="s">
        <v>1545</v>
      </c>
      <c r="E19" s="7" t="s">
        <v>1183</v>
      </c>
      <c r="F19" s="8" t="s">
        <v>25</v>
      </c>
      <c r="G19" s="60">
        <v>1500</v>
      </c>
      <c r="H19" s="6" t="s">
        <v>1475</v>
      </c>
      <c r="I19" s="6" t="s">
        <v>27</v>
      </c>
      <c r="J19" s="6" t="s">
        <v>27</v>
      </c>
      <c r="K19" s="6" t="s">
        <v>27</v>
      </c>
      <c r="L19" s="6" t="s">
        <v>27</v>
      </c>
      <c r="M19" s="6" t="s">
        <v>27</v>
      </c>
      <c r="N19" s="6" t="s">
        <v>27</v>
      </c>
      <c r="O19" s="6" t="s">
        <v>27</v>
      </c>
      <c r="P19" s="6" t="s">
        <v>27</v>
      </c>
      <c r="Q19" s="6"/>
      <c r="R19" s="33">
        <f t="shared" si="0"/>
        <v>2020</v>
      </c>
      <c r="S19" s="33"/>
    </row>
    <row r="20" spans="1:19" ht="14.5" x14ac:dyDescent="0.35">
      <c r="A20" s="7" t="s">
        <v>1552</v>
      </c>
      <c r="B20" s="7" t="s">
        <v>1553</v>
      </c>
      <c r="C20" s="7" t="s">
        <v>42</v>
      </c>
      <c r="D20" s="7" t="s">
        <v>1527</v>
      </c>
      <c r="E20" s="7" t="s">
        <v>662</v>
      </c>
      <c r="F20" s="8" t="s">
        <v>25</v>
      </c>
      <c r="G20" s="60">
        <v>2500</v>
      </c>
      <c r="H20" s="6" t="s">
        <v>1475</v>
      </c>
      <c r="I20" s="6" t="s">
        <v>27</v>
      </c>
      <c r="J20" s="6" t="s">
        <v>27</v>
      </c>
      <c r="K20" s="6" t="s">
        <v>27</v>
      </c>
      <c r="L20" s="6" t="s">
        <v>27</v>
      </c>
      <c r="M20" s="6" t="s">
        <v>27</v>
      </c>
      <c r="N20" s="6" t="s">
        <v>27</v>
      </c>
      <c r="O20" s="6" t="s">
        <v>27</v>
      </c>
      <c r="P20" s="6" t="s">
        <v>27</v>
      </c>
      <c r="Q20" s="6"/>
      <c r="R20" s="33">
        <f t="shared" si="0"/>
        <v>2020</v>
      </c>
      <c r="S20" s="33"/>
    </row>
    <row r="21" spans="1:19" ht="14.5" x14ac:dyDescent="0.35">
      <c r="A21" s="7" t="s">
        <v>1554</v>
      </c>
      <c r="B21" s="7" t="s">
        <v>1555</v>
      </c>
      <c r="C21" s="7" t="s">
        <v>23</v>
      </c>
      <c r="D21" s="7" t="s">
        <v>1543</v>
      </c>
      <c r="E21" s="7" t="s">
        <v>1183</v>
      </c>
      <c r="F21" s="8" t="s">
        <v>25</v>
      </c>
      <c r="G21" s="60">
        <v>2300</v>
      </c>
      <c r="H21" s="6" t="s">
        <v>1475</v>
      </c>
      <c r="I21" s="6" t="s">
        <v>27</v>
      </c>
      <c r="J21" s="6" t="s">
        <v>27</v>
      </c>
      <c r="K21" s="6" t="s">
        <v>27</v>
      </c>
      <c r="L21" s="6" t="s">
        <v>27</v>
      </c>
      <c r="M21" s="6" t="s">
        <v>27</v>
      </c>
      <c r="N21" s="6" t="s">
        <v>27</v>
      </c>
      <c r="O21" s="6" t="s">
        <v>27</v>
      </c>
      <c r="P21" s="6" t="s">
        <v>27</v>
      </c>
      <c r="Q21" s="6"/>
      <c r="R21" s="33">
        <f t="shared" si="0"/>
        <v>2020</v>
      </c>
      <c r="S21" s="36"/>
    </row>
    <row r="22" spans="1:19" ht="14.5" x14ac:dyDescent="0.35">
      <c r="A22" s="7" t="s">
        <v>1554</v>
      </c>
      <c r="B22" s="7" t="s">
        <v>1555</v>
      </c>
      <c r="C22" s="7" t="s">
        <v>23</v>
      </c>
      <c r="D22" s="7" t="s">
        <v>1556</v>
      </c>
      <c r="E22" s="7" t="s">
        <v>662</v>
      </c>
      <c r="F22" s="8" t="s">
        <v>25</v>
      </c>
      <c r="G22" s="60">
        <v>1800</v>
      </c>
      <c r="H22" s="6" t="s">
        <v>1475</v>
      </c>
      <c r="I22" s="6" t="s">
        <v>27</v>
      </c>
      <c r="J22" s="6" t="s">
        <v>27</v>
      </c>
      <c r="K22" s="6" t="s">
        <v>27</v>
      </c>
      <c r="L22" s="6" t="s">
        <v>27</v>
      </c>
      <c r="M22" s="6" t="s">
        <v>27</v>
      </c>
      <c r="N22" s="6" t="s">
        <v>27</v>
      </c>
      <c r="O22" s="6" t="s">
        <v>27</v>
      </c>
      <c r="P22" s="6" t="s">
        <v>27</v>
      </c>
      <c r="Q22" s="6"/>
      <c r="R22" s="33">
        <f t="shared" si="0"/>
        <v>2020</v>
      </c>
      <c r="S22" s="36"/>
    </row>
    <row r="23" spans="1:19" ht="14.5" x14ac:dyDescent="0.35">
      <c r="A23" s="7" t="s">
        <v>1557</v>
      </c>
      <c r="B23" s="7" t="s">
        <v>1558</v>
      </c>
      <c r="C23" s="7" t="s">
        <v>42</v>
      </c>
      <c r="D23" s="7" t="s">
        <v>1559</v>
      </c>
      <c r="E23" s="7" t="s">
        <v>1560</v>
      </c>
      <c r="F23" s="8" t="s">
        <v>25</v>
      </c>
      <c r="G23" s="60">
        <v>370000</v>
      </c>
      <c r="H23" s="6" t="s">
        <v>1475</v>
      </c>
      <c r="I23" s="6" t="s">
        <v>27</v>
      </c>
      <c r="J23" s="6" t="s">
        <v>27</v>
      </c>
      <c r="K23" s="6" t="s">
        <v>27</v>
      </c>
      <c r="L23" s="6" t="s">
        <v>27</v>
      </c>
      <c r="M23" s="6" t="s">
        <v>27</v>
      </c>
      <c r="N23" s="6" t="s">
        <v>27</v>
      </c>
      <c r="O23" s="6" t="s">
        <v>27</v>
      </c>
      <c r="P23" s="6" t="s">
        <v>27</v>
      </c>
      <c r="Q23" s="6"/>
      <c r="R23" s="33">
        <f t="shared" si="0"/>
        <v>2020</v>
      </c>
      <c r="S23" s="33"/>
    </row>
    <row r="24" spans="1:19" ht="14.5" x14ac:dyDescent="0.35">
      <c r="A24" s="7" t="s">
        <v>1561</v>
      </c>
      <c r="B24" s="7" t="s">
        <v>1562</v>
      </c>
      <c r="C24" s="7" t="s">
        <v>23</v>
      </c>
      <c r="D24" s="7" t="s">
        <v>1556</v>
      </c>
      <c r="E24" s="7" t="s">
        <v>662</v>
      </c>
      <c r="F24" s="8" t="s">
        <v>25</v>
      </c>
      <c r="G24" s="60">
        <v>2300</v>
      </c>
      <c r="H24" s="6" t="s">
        <v>1475</v>
      </c>
      <c r="I24" s="6" t="s">
        <v>27</v>
      </c>
      <c r="J24" s="6" t="s">
        <v>27</v>
      </c>
      <c r="K24" s="6" t="s">
        <v>27</v>
      </c>
      <c r="L24" s="6" t="s">
        <v>27</v>
      </c>
      <c r="M24" s="6" t="s">
        <v>27</v>
      </c>
      <c r="N24" s="6" t="s">
        <v>27</v>
      </c>
      <c r="O24" s="6" t="s">
        <v>27</v>
      </c>
      <c r="P24" s="6" t="s">
        <v>27</v>
      </c>
      <c r="Q24" s="6"/>
      <c r="R24" s="33">
        <f t="shared" si="0"/>
        <v>2020</v>
      </c>
      <c r="S24" s="36"/>
    </row>
    <row r="25" spans="1:19" ht="14.5" x14ac:dyDescent="0.35">
      <c r="A25" s="7" t="s">
        <v>1561</v>
      </c>
      <c r="B25" s="7" t="s">
        <v>1562</v>
      </c>
      <c r="C25" s="7" t="s">
        <v>23</v>
      </c>
      <c r="D25" s="7" t="s">
        <v>1545</v>
      </c>
      <c r="E25" s="7" t="s">
        <v>1183</v>
      </c>
      <c r="F25" s="8" t="s">
        <v>25</v>
      </c>
      <c r="G25" s="60">
        <v>1500</v>
      </c>
      <c r="H25" s="6" t="s">
        <v>1475</v>
      </c>
      <c r="I25" s="6" t="s">
        <v>27</v>
      </c>
      <c r="J25" s="6" t="s">
        <v>27</v>
      </c>
      <c r="K25" s="6" t="s">
        <v>27</v>
      </c>
      <c r="L25" s="6" t="s">
        <v>27</v>
      </c>
      <c r="M25" s="6" t="s">
        <v>27</v>
      </c>
      <c r="N25" s="6" t="s">
        <v>27</v>
      </c>
      <c r="O25" s="6" t="s">
        <v>27</v>
      </c>
      <c r="P25" s="6" t="s">
        <v>27</v>
      </c>
      <c r="Q25" s="6"/>
      <c r="R25" s="33">
        <f t="shared" si="0"/>
        <v>2020</v>
      </c>
      <c r="S25" s="36"/>
    </row>
    <row r="26" spans="1:19" ht="14.5" x14ac:dyDescent="0.35">
      <c r="A26" s="7" t="s">
        <v>1563</v>
      </c>
      <c r="B26" s="7" t="s">
        <v>1564</v>
      </c>
      <c r="C26" s="7" t="s">
        <v>23</v>
      </c>
      <c r="D26" s="7" t="s">
        <v>1543</v>
      </c>
      <c r="E26" s="7" t="s">
        <v>1183</v>
      </c>
      <c r="F26" s="8" t="s">
        <v>25</v>
      </c>
      <c r="G26" s="60">
        <v>5900</v>
      </c>
      <c r="H26" s="6" t="s">
        <v>1475</v>
      </c>
      <c r="I26" s="6" t="s">
        <v>27</v>
      </c>
      <c r="J26" s="6" t="s">
        <v>27</v>
      </c>
      <c r="K26" s="6" t="s">
        <v>27</v>
      </c>
      <c r="L26" s="6" t="s">
        <v>27</v>
      </c>
      <c r="M26" s="6" t="s">
        <v>27</v>
      </c>
      <c r="N26" s="6" t="s">
        <v>27</v>
      </c>
      <c r="O26" s="6" t="s">
        <v>27</v>
      </c>
      <c r="P26" s="6" t="s">
        <v>27</v>
      </c>
      <c r="Q26" s="6"/>
      <c r="R26" s="33">
        <f t="shared" si="0"/>
        <v>2020</v>
      </c>
      <c r="S26" s="36"/>
    </row>
    <row r="27" spans="1:19" ht="14.5" x14ac:dyDescent="0.35">
      <c r="A27" s="7" t="s">
        <v>1565</v>
      </c>
      <c r="B27" s="7" t="s">
        <v>1566</v>
      </c>
      <c r="C27" s="7" t="s">
        <v>42</v>
      </c>
      <c r="D27" s="7" t="s">
        <v>1567</v>
      </c>
      <c r="E27" s="7" t="s">
        <v>1568</v>
      </c>
      <c r="F27" s="8" t="s">
        <v>53</v>
      </c>
      <c r="G27" s="60">
        <v>12700</v>
      </c>
      <c r="H27" s="6" t="s">
        <v>1475</v>
      </c>
      <c r="I27" s="6" t="s">
        <v>27</v>
      </c>
      <c r="J27" s="6" t="s">
        <v>27</v>
      </c>
      <c r="K27" s="6" t="s">
        <v>27</v>
      </c>
      <c r="L27" s="6" t="s">
        <v>27</v>
      </c>
      <c r="M27" s="6" t="s">
        <v>27</v>
      </c>
      <c r="N27" s="6" t="s">
        <v>27</v>
      </c>
      <c r="O27" s="6" t="s">
        <v>27</v>
      </c>
      <c r="P27" s="6" t="s">
        <v>27</v>
      </c>
      <c r="Q27" s="6"/>
      <c r="R27" s="33">
        <f t="shared" si="0"/>
        <v>2020</v>
      </c>
      <c r="S27" s="33"/>
    </row>
    <row r="28" spans="1:19" ht="14.5" x14ac:dyDescent="0.35">
      <c r="A28" s="7" t="s">
        <v>1569</v>
      </c>
      <c r="B28" s="7" t="s">
        <v>1570</v>
      </c>
      <c r="C28" s="7" t="s">
        <v>37</v>
      </c>
      <c r="D28" s="7" t="s">
        <v>1571</v>
      </c>
      <c r="E28" s="7" t="s">
        <v>1572</v>
      </c>
      <c r="F28" s="8" t="s">
        <v>25</v>
      </c>
      <c r="G28" s="60">
        <v>1800</v>
      </c>
      <c r="H28" s="6" t="s">
        <v>1475</v>
      </c>
      <c r="I28" s="6" t="s">
        <v>27</v>
      </c>
      <c r="J28" s="6" t="s">
        <v>27</v>
      </c>
      <c r="K28" s="6" t="s">
        <v>27</v>
      </c>
      <c r="L28" s="6" t="s">
        <v>27</v>
      </c>
      <c r="M28" s="6" t="s">
        <v>27</v>
      </c>
      <c r="N28" s="6" t="s">
        <v>27</v>
      </c>
      <c r="O28" s="6" t="s">
        <v>27</v>
      </c>
      <c r="P28" s="6" t="s">
        <v>27</v>
      </c>
      <c r="Q28" s="6"/>
      <c r="R28" s="33">
        <f t="shared" si="0"/>
        <v>2020</v>
      </c>
      <c r="S28" s="33"/>
    </row>
    <row r="29" spans="1:19" ht="14.5" x14ac:dyDescent="0.35">
      <c r="A29" s="7" t="s">
        <v>1569</v>
      </c>
      <c r="B29" s="7" t="s">
        <v>1570</v>
      </c>
      <c r="C29" s="7" t="s">
        <v>37</v>
      </c>
      <c r="D29" s="7" t="s">
        <v>1478</v>
      </c>
      <c r="E29" s="7" t="s">
        <v>1541</v>
      </c>
      <c r="F29" s="8" t="s">
        <v>25</v>
      </c>
      <c r="G29" s="60">
        <v>2300</v>
      </c>
      <c r="H29" s="6" t="s">
        <v>1475</v>
      </c>
      <c r="I29" s="6" t="s">
        <v>27</v>
      </c>
      <c r="J29" s="6" t="s">
        <v>27</v>
      </c>
      <c r="K29" s="6" t="s">
        <v>27</v>
      </c>
      <c r="L29" s="6" t="s">
        <v>27</v>
      </c>
      <c r="M29" s="6" t="s">
        <v>27</v>
      </c>
      <c r="N29" s="6" t="s">
        <v>27</v>
      </c>
      <c r="O29" s="6" t="s">
        <v>27</v>
      </c>
      <c r="P29" s="6" t="s">
        <v>27</v>
      </c>
      <c r="Q29" s="6"/>
      <c r="R29" s="33">
        <f t="shared" si="0"/>
        <v>2020</v>
      </c>
      <c r="S29" s="33"/>
    </row>
    <row r="30" spans="1:19" ht="14.5" x14ac:dyDescent="0.35">
      <c r="A30" s="7" t="s">
        <v>761</v>
      </c>
      <c r="B30" s="7" t="s">
        <v>1573</v>
      </c>
      <c r="C30" s="7" t="s">
        <v>48</v>
      </c>
      <c r="D30" s="7" t="s">
        <v>1574</v>
      </c>
      <c r="E30" s="7" t="s">
        <v>1575</v>
      </c>
      <c r="F30" s="8" t="s">
        <v>25</v>
      </c>
      <c r="G30" s="60">
        <v>3500</v>
      </c>
      <c r="H30" s="6" t="s">
        <v>1475</v>
      </c>
      <c r="I30" s="6" t="s">
        <v>27</v>
      </c>
      <c r="J30" s="6" t="s">
        <v>27</v>
      </c>
      <c r="K30" s="6" t="s">
        <v>27</v>
      </c>
      <c r="L30" s="6" t="s">
        <v>27</v>
      </c>
      <c r="M30" s="6" t="s">
        <v>27</v>
      </c>
      <c r="N30" s="6" t="s">
        <v>27</v>
      </c>
      <c r="O30" s="6" t="s">
        <v>27</v>
      </c>
      <c r="P30" s="6" t="s">
        <v>27</v>
      </c>
      <c r="Q30" s="6"/>
      <c r="R30" s="33">
        <f t="shared" si="0"/>
        <v>2020</v>
      </c>
      <c r="S30" s="33"/>
    </row>
    <row r="31" spans="1:19" ht="14.5" x14ac:dyDescent="0.35">
      <c r="A31" s="7" t="s">
        <v>1576</v>
      </c>
      <c r="B31" s="7" t="s">
        <v>1577</v>
      </c>
      <c r="C31" s="7" t="s">
        <v>37</v>
      </c>
      <c r="D31" s="7" t="s">
        <v>1545</v>
      </c>
      <c r="E31" s="7" t="s">
        <v>1183</v>
      </c>
      <c r="F31" s="8" t="s">
        <v>25</v>
      </c>
      <c r="G31" s="60">
        <v>1200</v>
      </c>
      <c r="H31" s="6" t="s">
        <v>1475</v>
      </c>
      <c r="I31" s="6" t="s">
        <v>27</v>
      </c>
      <c r="J31" s="6" t="s">
        <v>27</v>
      </c>
      <c r="K31" s="6" t="s">
        <v>27</v>
      </c>
      <c r="L31" s="6" t="s">
        <v>27</v>
      </c>
      <c r="M31" s="6" t="s">
        <v>27</v>
      </c>
      <c r="N31" s="6" t="s">
        <v>27</v>
      </c>
      <c r="O31" s="6" t="s">
        <v>27</v>
      </c>
      <c r="P31" s="6" t="s">
        <v>27</v>
      </c>
      <c r="Q31" s="6"/>
      <c r="R31" s="33">
        <f t="shared" si="0"/>
        <v>2020</v>
      </c>
      <c r="S31" s="33"/>
    </row>
    <row r="32" spans="1:19" ht="14.5" x14ac:dyDescent="0.35">
      <c r="A32" s="7" t="s">
        <v>1576</v>
      </c>
      <c r="B32" s="7" t="s">
        <v>1577</v>
      </c>
      <c r="C32" s="7" t="s">
        <v>37</v>
      </c>
      <c r="D32" s="7" t="s">
        <v>1527</v>
      </c>
      <c r="E32" s="7" t="s">
        <v>662</v>
      </c>
      <c r="F32" s="8" t="s">
        <v>25</v>
      </c>
      <c r="G32" s="60">
        <v>2100</v>
      </c>
      <c r="H32" s="6" t="s">
        <v>1475</v>
      </c>
      <c r="I32" s="6" t="s">
        <v>27</v>
      </c>
      <c r="J32" s="6" t="s">
        <v>27</v>
      </c>
      <c r="K32" s="6" t="s">
        <v>27</v>
      </c>
      <c r="L32" s="6" t="s">
        <v>27</v>
      </c>
      <c r="M32" s="6" t="s">
        <v>27</v>
      </c>
      <c r="N32" s="6" t="s">
        <v>27</v>
      </c>
      <c r="O32" s="6" t="s">
        <v>27</v>
      </c>
      <c r="P32" s="6" t="s">
        <v>27</v>
      </c>
      <c r="Q32" s="6"/>
      <c r="R32" s="33">
        <f t="shared" si="0"/>
        <v>2020</v>
      </c>
      <c r="S32" s="33"/>
    </row>
    <row r="33" spans="1:19" ht="14.5" x14ac:dyDescent="0.35">
      <c r="A33" s="7" t="s">
        <v>1578</v>
      </c>
      <c r="B33" s="7" t="s">
        <v>1579</v>
      </c>
      <c r="C33" s="7" t="s">
        <v>37</v>
      </c>
      <c r="D33" s="7" t="s">
        <v>1543</v>
      </c>
      <c r="E33" s="7" t="s">
        <v>1183</v>
      </c>
      <c r="F33" s="8" t="s">
        <v>25</v>
      </c>
      <c r="G33" s="60">
        <v>1800</v>
      </c>
      <c r="H33" s="6" t="s">
        <v>1475</v>
      </c>
      <c r="I33" s="6" t="s">
        <v>27</v>
      </c>
      <c r="J33" s="6" t="s">
        <v>27</v>
      </c>
      <c r="K33" s="6" t="s">
        <v>27</v>
      </c>
      <c r="L33" s="6" t="s">
        <v>27</v>
      </c>
      <c r="M33" s="6" t="s">
        <v>27</v>
      </c>
      <c r="N33" s="6" t="s">
        <v>27</v>
      </c>
      <c r="O33" s="6" t="s">
        <v>27</v>
      </c>
      <c r="P33" s="6" t="s">
        <v>27</v>
      </c>
      <c r="Q33" s="6"/>
      <c r="R33" s="33">
        <f t="shared" si="0"/>
        <v>2020</v>
      </c>
      <c r="S33" s="33"/>
    </row>
    <row r="34" spans="1:19" ht="14.5" x14ac:dyDescent="0.35">
      <c r="A34" s="7" t="s">
        <v>1578</v>
      </c>
      <c r="B34" s="7" t="s">
        <v>1579</v>
      </c>
      <c r="C34" s="7" t="s">
        <v>37</v>
      </c>
      <c r="D34" s="7" t="s">
        <v>1527</v>
      </c>
      <c r="E34" s="7" t="s">
        <v>662</v>
      </c>
      <c r="F34" s="8" t="s">
        <v>25</v>
      </c>
      <c r="G34" s="60">
        <v>2100</v>
      </c>
      <c r="H34" s="6" t="s">
        <v>1475</v>
      </c>
      <c r="I34" s="6" t="s">
        <v>27</v>
      </c>
      <c r="J34" s="6" t="s">
        <v>27</v>
      </c>
      <c r="K34" s="6" t="s">
        <v>27</v>
      </c>
      <c r="L34" s="6" t="s">
        <v>27</v>
      </c>
      <c r="M34" s="6" t="s">
        <v>27</v>
      </c>
      <c r="N34" s="6" t="s">
        <v>27</v>
      </c>
      <c r="O34" s="6" t="s">
        <v>27</v>
      </c>
      <c r="P34" s="6" t="s">
        <v>27</v>
      </c>
      <c r="Q34" s="6"/>
      <c r="R34" s="33">
        <f t="shared" si="0"/>
        <v>2020</v>
      </c>
      <c r="S34" s="33"/>
    </row>
    <row r="35" spans="1:19" ht="14.5" x14ac:dyDescent="0.35">
      <c r="A35" s="7" t="s">
        <v>1580</v>
      </c>
      <c r="B35" s="7" t="s">
        <v>780</v>
      </c>
      <c r="C35" s="7" t="s">
        <v>37</v>
      </c>
      <c r="D35" s="7" t="s">
        <v>1543</v>
      </c>
      <c r="E35" s="7" t="s">
        <v>1183</v>
      </c>
      <c r="F35" s="8" t="s">
        <v>25</v>
      </c>
      <c r="G35" s="60">
        <v>10000</v>
      </c>
      <c r="H35" s="6" t="s">
        <v>1475</v>
      </c>
      <c r="I35" s="6" t="s">
        <v>27</v>
      </c>
      <c r="J35" s="6" t="s">
        <v>27</v>
      </c>
      <c r="K35" s="6" t="s">
        <v>27</v>
      </c>
      <c r="L35" s="6" t="s">
        <v>27</v>
      </c>
      <c r="M35" s="6" t="s">
        <v>27</v>
      </c>
      <c r="N35" s="6" t="s">
        <v>27</v>
      </c>
      <c r="O35" s="6" t="s">
        <v>27</v>
      </c>
      <c r="P35" s="6" t="s">
        <v>27</v>
      </c>
      <c r="Q35" s="6"/>
      <c r="R35" s="33">
        <f t="shared" si="0"/>
        <v>2020</v>
      </c>
      <c r="S35" s="33"/>
    </row>
    <row r="36" spans="1:19" ht="14.5" x14ac:dyDescent="0.35">
      <c r="A36" s="7" t="s">
        <v>1581</v>
      </c>
      <c r="B36" s="7" t="s">
        <v>783</v>
      </c>
      <c r="C36" s="7" t="s">
        <v>37</v>
      </c>
      <c r="D36" s="7" t="s">
        <v>1556</v>
      </c>
      <c r="E36" s="7" t="s">
        <v>662</v>
      </c>
      <c r="F36" s="8" t="s">
        <v>25</v>
      </c>
      <c r="G36" s="60">
        <v>25000</v>
      </c>
      <c r="H36" s="6" t="s">
        <v>1475</v>
      </c>
      <c r="I36" s="6" t="s">
        <v>27</v>
      </c>
      <c r="J36" s="6" t="s">
        <v>27</v>
      </c>
      <c r="K36" s="6" t="s">
        <v>27</v>
      </c>
      <c r="L36" s="6" t="s">
        <v>27</v>
      </c>
      <c r="M36" s="6" t="s">
        <v>27</v>
      </c>
      <c r="N36" s="6" t="s">
        <v>27</v>
      </c>
      <c r="O36" s="6" t="s">
        <v>27</v>
      </c>
      <c r="P36" s="6" t="s">
        <v>27</v>
      </c>
      <c r="Q36" s="6"/>
      <c r="R36" s="33">
        <f t="shared" si="0"/>
        <v>2020</v>
      </c>
      <c r="S36" s="33"/>
    </row>
    <row r="37" spans="1:19" ht="14.5" x14ac:dyDescent="0.35">
      <c r="A37" s="7" t="s">
        <v>1582</v>
      </c>
      <c r="B37" s="7" t="s">
        <v>1583</v>
      </c>
      <c r="C37" s="7" t="s">
        <v>37</v>
      </c>
      <c r="D37" s="7" t="s">
        <v>1556</v>
      </c>
      <c r="E37" s="7" t="s">
        <v>662</v>
      </c>
      <c r="F37" s="8" t="s">
        <v>25</v>
      </c>
      <c r="G37" s="60">
        <v>35000</v>
      </c>
      <c r="H37" s="6" t="s">
        <v>1475</v>
      </c>
      <c r="I37" s="6" t="s">
        <v>27</v>
      </c>
      <c r="J37" s="6" t="s">
        <v>27</v>
      </c>
      <c r="K37" s="6" t="s">
        <v>27</v>
      </c>
      <c r="L37" s="6" t="s">
        <v>27</v>
      </c>
      <c r="M37" s="6" t="s">
        <v>27</v>
      </c>
      <c r="N37" s="6" t="s">
        <v>27</v>
      </c>
      <c r="O37" s="6" t="s">
        <v>27</v>
      </c>
      <c r="P37" s="6" t="s">
        <v>27</v>
      </c>
      <c r="Q37" s="6"/>
      <c r="R37" s="33">
        <f t="shared" si="0"/>
        <v>2020</v>
      </c>
      <c r="S37" s="33"/>
    </row>
    <row r="38" spans="1:19" ht="14.5" x14ac:dyDescent="0.35">
      <c r="A38" s="7" t="s">
        <v>1582</v>
      </c>
      <c r="B38" s="7" t="s">
        <v>1583</v>
      </c>
      <c r="C38" s="7" t="s">
        <v>37</v>
      </c>
      <c r="D38" s="7" t="s">
        <v>1584</v>
      </c>
      <c r="E38" s="7" t="s">
        <v>1183</v>
      </c>
      <c r="F38" s="8" t="s">
        <v>25</v>
      </c>
      <c r="G38" s="60">
        <v>20000</v>
      </c>
      <c r="H38" s="6" t="s">
        <v>1475</v>
      </c>
      <c r="I38" s="6" t="s">
        <v>27</v>
      </c>
      <c r="J38" s="6" t="s">
        <v>27</v>
      </c>
      <c r="K38" s="6" t="s">
        <v>27</v>
      </c>
      <c r="L38" s="6" t="s">
        <v>27</v>
      </c>
      <c r="M38" s="6" t="s">
        <v>27</v>
      </c>
      <c r="N38" s="6" t="s">
        <v>27</v>
      </c>
      <c r="O38" s="6" t="s">
        <v>27</v>
      </c>
      <c r="P38" s="6" t="s">
        <v>27</v>
      </c>
      <c r="Q38" s="6"/>
      <c r="R38" s="33">
        <f t="shared" si="0"/>
        <v>2020</v>
      </c>
      <c r="S38" s="33"/>
    </row>
    <row r="39" spans="1:19" ht="14.5" x14ac:dyDescent="0.35">
      <c r="A39" s="7" t="s">
        <v>1582</v>
      </c>
      <c r="B39" s="7" t="s">
        <v>1583</v>
      </c>
      <c r="C39" s="7" t="s">
        <v>37</v>
      </c>
      <c r="D39" s="7" t="s">
        <v>1585</v>
      </c>
      <c r="E39" s="7" t="s">
        <v>819</v>
      </c>
      <c r="F39" s="8" t="s">
        <v>25</v>
      </c>
      <c r="G39" s="60">
        <v>43000</v>
      </c>
      <c r="H39" s="6" t="s">
        <v>1475</v>
      </c>
      <c r="I39" s="6" t="s">
        <v>27</v>
      </c>
      <c r="J39" s="6" t="s">
        <v>27</v>
      </c>
      <c r="K39" s="6" t="s">
        <v>27</v>
      </c>
      <c r="L39" s="6" t="s">
        <v>27</v>
      </c>
      <c r="M39" s="6" t="s">
        <v>27</v>
      </c>
      <c r="N39" s="6" t="s">
        <v>27</v>
      </c>
      <c r="O39" s="6" t="s">
        <v>27</v>
      </c>
      <c r="P39" s="6" t="s">
        <v>27</v>
      </c>
      <c r="Q39" s="6"/>
      <c r="R39" s="33">
        <f t="shared" si="0"/>
        <v>2020</v>
      </c>
      <c r="S39" s="33"/>
    </row>
    <row r="40" spans="1:19" ht="14.5" x14ac:dyDescent="0.35">
      <c r="A40" s="7" t="s">
        <v>1581</v>
      </c>
      <c r="B40" s="7" t="s">
        <v>783</v>
      </c>
      <c r="C40" s="7" t="s">
        <v>37</v>
      </c>
      <c r="D40" s="7" t="s">
        <v>1543</v>
      </c>
      <c r="E40" s="7" t="s">
        <v>1183</v>
      </c>
      <c r="F40" s="8" t="s">
        <v>25</v>
      </c>
      <c r="G40" s="60">
        <v>6200</v>
      </c>
      <c r="H40" s="6" t="s">
        <v>1475</v>
      </c>
      <c r="I40" s="6" t="s">
        <v>27</v>
      </c>
      <c r="J40" s="6" t="s">
        <v>27</v>
      </c>
      <c r="K40" s="6" t="s">
        <v>27</v>
      </c>
      <c r="L40" s="6" t="s">
        <v>27</v>
      </c>
      <c r="M40" s="6" t="s">
        <v>27</v>
      </c>
      <c r="N40" s="6" t="s">
        <v>27</v>
      </c>
      <c r="O40" s="6" t="s">
        <v>27</v>
      </c>
      <c r="P40" s="6" t="s">
        <v>27</v>
      </c>
      <c r="Q40" s="6"/>
      <c r="R40" s="33">
        <f t="shared" si="0"/>
        <v>2020</v>
      </c>
      <c r="S40" s="33"/>
    </row>
    <row r="41" spans="1:19" ht="14.5" x14ac:dyDescent="0.35">
      <c r="A41" s="7" t="s">
        <v>1582</v>
      </c>
      <c r="B41" s="7" t="s">
        <v>1583</v>
      </c>
      <c r="C41" s="7" t="s">
        <v>37</v>
      </c>
      <c r="D41" s="7" t="s">
        <v>1536</v>
      </c>
      <c r="E41" s="7" t="s">
        <v>1586</v>
      </c>
      <c r="F41" s="8" t="s">
        <v>25</v>
      </c>
      <c r="G41" s="60">
        <v>65000</v>
      </c>
      <c r="H41" s="6" t="s">
        <v>1475</v>
      </c>
      <c r="I41" s="6" t="s">
        <v>27</v>
      </c>
      <c r="J41" s="6" t="s">
        <v>27</v>
      </c>
      <c r="K41" s="6" t="s">
        <v>27</v>
      </c>
      <c r="L41" s="6" t="s">
        <v>27</v>
      </c>
      <c r="M41" s="6" t="s">
        <v>27</v>
      </c>
      <c r="N41" s="6" t="s">
        <v>27</v>
      </c>
      <c r="O41" s="6" t="s">
        <v>27</v>
      </c>
      <c r="P41" s="6" t="s">
        <v>27</v>
      </c>
      <c r="Q41" s="6"/>
      <c r="R41" s="33">
        <f t="shared" si="0"/>
        <v>2020</v>
      </c>
      <c r="S41" s="33"/>
    </row>
    <row r="42" spans="1:19" ht="14.5" x14ac:dyDescent="0.35">
      <c r="A42" s="7" t="s">
        <v>1582</v>
      </c>
      <c r="B42" s="7" t="s">
        <v>1583</v>
      </c>
      <c r="C42" s="7" t="s">
        <v>37</v>
      </c>
      <c r="D42" s="7" t="s">
        <v>1587</v>
      </c>
      <c r="E42" s="7" t="s">
        <v>1588</v>
      </c>
      <c r="F42" s="8" t="s">
        <v>25</v>
      </c>
      <c r="G42" s="60">
        <v>50000</v>
      </c>
      <c r="H42" s="6" t="s">
        <v>1475</v>
      </c>
      <c r="I42" s="6" t="s">
        <v>27</v>
      </c>
      <c r="J42" s="6" t="s">
        <v>27</v>
      </c>
      <c r="K42" s="6" t="s">
        <v>27</v>
      </c>
      <c r="L42" s="6" t="s">
        <v>27</v>
      </c>
      <c r="M42" s="6" t="s">
        <v>27</v>
      </c>
      <c r="N42" s="6" t="s">
        <v>27</v>
      </c>
      <c r="O42" s="6" t="s">
        <v>27</v>
      </c>
      <c r="P42" s="6" t="s">
        <v>27</v>
      </c>
      <c r="Q42" s="6"/>
      <c r="R42" s="33">
        <f t="shared" si="0"/>
        <v>2020</v>
      </c>
      <c r="S42" s="33"/>
    </row>
    <row r="43" spans="1:19" ht="14.5" x14ac:dyDescent="0.35">
      <c r="A43" s="7" t="s">
        <v>1582</v>
      </c>
      <c r="B43" s="7" t="s">
        <v>1583</v>
      </c>
      <c r="C43" s="7" t="s">
        <v>37</v>
      </c>
      <c r="D43" s="7" t="s">
        <v>1478</v>
      </c>
      <c r="E43" s="7" t="s">
        <v>1541</v>
      </c>
      <c r="F43" s="8" t="s">
        <v>25</v>
      </c>
      <c r="G43" s="60">
        <v>5000</v>
      </c>
      <c r="H43" s="6" t="s">
        <v>1475</v>
      </c>
      <c r="I43" s="6" t="s">
        <v>27</v>
      </c>
      <c r="J43" s="6" t="s">
        <v>27</v>
      </c>
      <c r="K43" s="6" t="s">
        <v>27</v>
      </c>
      <c r="L43" s="6" t="s">
        <v>27</v>
      </c>
      <c r="M43" s="6" t="s">
        <v>27</v>
      </c>
      <c r="N43" s="6" t="s">
        <v>27</v>
      </c>
      <c r="O43" s="6" t="s">
        <v>27</v>
      </c>
      <c r="P43" s="6" t="s">
        <v>27</v>
      </c>
      <c r="Q43" s="6"/>
      <c r="R43" s="33">
        <f t="shared" si="0"/>
        <v>2020</v>
      </c>
      <c r="S43" s="33"/>
    </row>
    <row r="44" spans="1:19" ht="14.5" x14ac:dyDescent="0.35">
      <c r="A44" s="7" t="s">
        <v>1582</v>
      </c>
      <c r="B44" s="7" t="s">
        <v>1583</v>
      </c>
      <c r="C44" s="7" t="s">
        <v>37</v>
      </c>
      <c r="D44" s="7" t="s">
        <v>1589</v>
      </c>
      <c r="E44" s="7" t="s">
        <v>1590</v>
      </c>
      <c r="F44" s="8" t="s">
        <v>25</v>
      </c>
      <c r="G44" s="60">
        <v>11000</v>
      </c>
      <c r="H44" s="6" t="s">
        <v>1475</v>
      </c>
      <c r="I44" s="6" t="s">
        <v>27</v>
      </c>
      <c r="J44" s="6" t="s">
        <v>27</v>
      </c>
      <c r="K44" s="6" t="s">
        <v>27</v>
      </c>
      <c r="L44" s="6" t="s">
        <v>27</v>
      </c>
      <c r="M44" s="6" t="s">
        <v>27</v>
      </c>
      <c r="N44" s="6" t="s">
        <v>27</v>
      </c>
      <c r="O44" s="6" t="s">
        <v>27</v>
      </c>
      <c r="P44" s="6" t="s">
        <v>27</v>
      </c>
      <c r="Q44" s="6"/>
      <c r="R44" s="33">
        <f t="shared" si="0"/>
        <v>2020</v>
      </c>
      <c r="S44" s="33"/>
    </row>
    <row r="45" spans="1:19" ht="14.5" x14ac:dyDescent="0.35">
      <c r="A45" s="7" t="s">
        <v>1569</v>
      </c>
      <c r="B45" s="7" t="s">
        <v>1570</v>
      </c>
      <c r="C45" s="7" t="s">
        <v>37</v>
      </c>
      <c r="D45" s="7" t="s">
        <v>1591</v>
      </c>
      <c r="E45" s="7" t="s">
        <v>662</v>
      </c>
      <c r="F45" s="8" t="s">
        <v>25</v>
      </c>
      <c r="G45" s="60">
        <v>57600</v>
      </c>
      <c r="H45" s="6" t="s">
        <v>1475</v>
      </c>
      <c r="I45" s="6" t="s">
        <v>27</v>
      </c>
      <c r="J45" s="6" t="s">
        <v>27</v>
      </c>
      <c r="K45" s="6" t="s">
        <v>27</v>
      </c>
      <c r="L45" s="6" t="s">
        <v>27</v>
      </c>
      <c r="M45" s="6" t="s">
        <v>27</v>
      </c>
      <c r="N45" s="6" t="s">
        <v>27</v>
      </c>
      <c r="O45" s="6" t="s">
        <v>27</v>
      </c>
      <c r="P45" s="6" t="s">
        <v>27</v>
      </c>
      <c r="Q45" s="6"/>
      <c r="R45" s="33">
        <f t="shared" si="0"/>
        <v>2020</v>
      </c>
      <c r="S45" s="33"/>
    </row>
    <row r="46" spans="1:19" ht="14.5" x14ac:dyDescent="0.35">
      <c r="A46" s="7" t="s">
        <v>1582</v>
      </c>
      <c r="B46" s="7" t="s">
        <v>1583</v>
      </c>
      <c r="C46" s="7" t="s">
        <v>37</v>
      </c>
      <c r="D46" s="7" t="s">
        <v>1592</v>
      </c>
      <c r="E46" s="7" t="s">
        <v>1593</v>
      </c>
      <c r="F46" s="8" t="s">
        <v>25</v>
      </c>
      <c r="G46" s="60">
        <v>30000</v>
      </c>
      <c r="H46" s="6" t="s">
        <v>1475</v>
      </c>
      <c r="I46" s="6" t="s">
        <v>27</v>
      </c>
      <c r="J46" s="6" t="s">
        <v>27</v>
      </c>
      <c r="K46" s="6" t="s">
        <v>27</v>
      </c>
      <c r="L46" s="6" t="s">
        <v>27</v>
      </c>
      <c r="M46" s="6" t="s">
        <v>27</v>
      </c>
      <c r="N46" s="6" t="s">
        <v>27</v>
      </c>
      <c r="O46" s="6" t="s">
        <v>27</v>
      </c>
      <c r="P46" s="6" t="s">
        <v>27</v>
      </c>
      <c r="Q46" s="6"/>
      <c r="R46" s="33">
        <f t="shared" si="0"/>
        <v>2020</v>
      </c>
      <c r="S46" s="33"/>
    </row>
    <row r="47" spans="1:19" ht="14.5" x14ac:dyDescent="0.35">
      <c r="A47" s="7" t="s">
        <v>1582</v>
      </c>
      <c r="B47" s="7" t="s">
        <v>1583</v>
      </c>
      <c r="C47" s="7" t="s">
        <v>37</v>
      </c>
      <c r="D47" s="7" t="s">
        <v>1538</v>
      </c>
      <c r="E47" s="7" t="s">
        <v>1594</v>
      </c>
      <c r="F47" s="8" t="s">
        <v>25</v>
      </c>
      <c r="G47" s="60">
        <v>1400</v>
      </c>
      <c r="H47" s="6" t="s">
        <v>1475</v>
      </c>
      <c r="I47" s="6" t="s">
        <v>27</v>
      </c>
      <c r="J47" s="6" t="s">
        <v>27</v>
      </c>
      <c r="K47" s="6" t="s">
        <v>27</v>
      </c>
      <c r="L47" s="6" t="s">
        <v>27</v>
      </c>
      <c r="M47" s="6" t="s">
        <v>27</v>
      </c>
      <c r="N47" s="6" t="s">
        <v>27</v>
      </c>
      <c r="O47" s="6" t="s">
        <v>27</v>
      </c>
      <c r="P47" s="6" t="s">
        <v>27</v>
      </c>
      <c r="Q47" s="6"/>
      <c r="R47" s="33">
        <f t="shared" si="0"/>
        <v>2020</v>
      </c>
      <c r="S47" s="33"/>
    </row>
    <row r="48" spans="1:19" ht="14.5" x14ac:dyDescent="0.35">
      <c r="A48" s="7" t="s">
        <v>1569</v>
      </c>
      <c r="B48" s="7" t="s">
        <v>1570</v>
      </c>
      <c r="C48" s="7" t="s">
        <v>37</v>
      </c>
      <c r="D48" s="7" t="s">
        <v>1478</v>
      </c>
      <c r="E48" s="7" t="s">
        <v>1595</v>
      </c>
      <c r="F48" s="8" t="s">
        <v>25</v>
      </c>
      <c r="G48" s="60">
        <v>65000</v>
      </c>
      <c r="H48" s="6" t="s">
        <v>1475</v>
      </c>
      <c r="I48" s="6" t="s">
        <v>27</v>
      </c>
      <c r="J48" s="6" t="s">
        <v>27</v>
      </c>
      <c r="K48" s="6" t="s">
        <v>27</v>
      </c>
      <c r="L48" s="6" t="s">
        <v>27</v>
      </c>
      <c r="M48" s="6" t="s">
        <v>27</v>
      </c>
      <c r="N48" s="6" t="s">
        <v>27</v>
      </c>
      <c r="O48" s="6" t="s">
        <v>27</v>
      </c>
      <c r="P48" s="6" t="s">
        <v>27</v>
      </c>
      <c r="Q48" s="6"/>
      <c r="R48" s="33">
        <f t="shared" si="0"/>
        <v>2020</v>
      </c>
      <c r="S48" s="33"/>
    </row>
    <row r="49" spans="1:19" ht="14.5" x14ac:dyDescent="0.35">
      <c r="A49" s="7" t="s">
        <v>1569</v>
      </c>
      <c r="B49" s="7" t="s">
        <v>1570</v>
      </c>
      <c r="C49" s="7" t="s">
        <v>37</v>
      </c>
      <c r="D49" s="7" t="s">
        <v>1538</v>
      </c>
      <c r="E49" s="7" t="s">
        <v>1594</v>
      </c>
      <c r="F49" s="8" t="s">
        <v>25</v>
      </c>
      <c r="G49" s="60">
        <v>800</v>
      </c>
      <c r="H49" s="6" t="s">
        <v>1475</v>
      </c>
      <c r="I49" s="6" t="s">
        <v>27</v>
      </c>
      <c r="J49" s="6" t="s">
        <v>27</v>
      </c>
      <c r="K49" s="6" t="s">
        <v>27</v>
      </c>
      <c r="L49" s="6" t="s">
        <v>27</v>
      </c>
      <c r="M49" s="6" t="s">
        <v>27</v>
      </c>
      <c r="N49" s="6" t="s">
        <v>27</v>
      </c>
      <c r="O49" s="6" t="s">
        <v>27</v>
      </c>
      <c r="P49" s="6" t="s">
        <v>27</v>
      </c>
      <c r="Q49" s="6"/>
      <c r="R49" s="33">
        <f t="shared" si="0"/>
        <v>2020</v>
      </c>
      <c r="S49" s="33"/>
    </row>
    <row r="50" spans="1:19" ht="14.5" x14ac:dyDescent="0.35">
      <c r="A50" s="7" t="s">
        <v>1569</v>
      </c>
      <c r="B50" s="7" t="s">
        <v>1570</v>
      </c>
      <c r="C50" s="7" t="s">
        <v>37</v>
      </c>
      <c r="D50" s="7" t="s">
        <v>1571</v>
      </c>
      <c r="E50" s="7" t="s">
        <v>1141</v>
      </c>
      <c r="F50" s="8" t="s">
        <v>25</v>
      </c>
      <c r="G50" s="60">
        <v>210000</v>
      </c>
      <c r="H50" s="6" t="s">
        <v>1475</v>
      </c>
      <c r="I50" s="6" t="s">
        <v>27</v>
      </c>
      <c r="J50" s="6" t="s">
        <v>27</v>
      </c>
      <c r="K50" s="6" t="s">
        <v>27</v>
      </c>
      <c r="L50" s="6" t="s">
        <v>27</v>
      </c>
      <c r="M50" s="6" t="s">
        <v>27</v>
      </c>
      <c r="N50" s="6" t="s">
        <v>27</v>
      </c>
      <c r="O50" s="6" t="s">
        <v>27</v>
      </c>
      <c r="P50" s="6" t="s">
        <v>27</v>
      </c>
      <c r="Q50" s="6"/>
      <c r="R50" s="33">
        <f t="shared" si="0"/>
        <v>2020</v>
      </c>
      <c r="S50" s="33"/>
    </row>
    <row r="51" spans="1:19" ht="14.5" x14ac:dyDescent="0.35">
      <c r="A51" s="7" t="s">
        <v>1569</v>
      </c>
      <c r="B51" s="7" t="s">
        <v>1570</v>
      </c>
      <c r="C51" s="7" t="s">
        <v>37</v>
      </c>
      <c r="D51" s="7" t="s">
        <v>1596</v>
      </c>
      <c r="E51" s="7" t="s">
        <v>1597</v>
      </c>
      <c r="F51" s="8" t="s">
        <v>25</v>
      </c>
      <c r="G51" s="60">
        <v>385780</v>
      </c>
      <c r="H51" s="6" t="s">
        <v>1475</v>
      </c>
      <c r="I51" s="6" t="s">
        <v>27</v>
      </c>
      <c r="J51" s="6" t="s">
        <v>27</v>
      </c>
      <c r="K51" s="6" t="s">
        <v>27</v>
      </c>
      <c r="L51" s="6" t="s">
        <v>27</v>
      </c>
      <c r="M51" s="6" t="s">
        <v>27</v>
      </c>
      <c r="N51" s="6" t="s">
        <v>27</v>
      </c>
      <c r="O51" s="6" t="s">
        <v>27</v>
      </c>
      <c r="P51" s="6" t="s">
        <v>27</v>
      </c>
      <c r="Q51" s="6"/>
      <c r="R51" s="33">
        <f t="shared" si="0"/>
        <v>2020</v>
      </c>
      <c r="S51" s="33"/>
    </row>
    <row r="52" spans="1:19" ht="14.5" x14ac:dyDescent="0.35">
      <c r="A52" s="7" t="s">
        <v>1582</v>
      </c>
      <c r="B52" s="7" t="s">
        <v>1583</v>
      </c>
      <c r="C52" s="7" t="s">
        <v>37</v>
      </c>
      <c r="D52" s="7" t="s">
        <v>1598</v>
      </c>
      <c r="E52" s="7" t="s">
        <v>1599</v>
      </c>
      <c r="F52" s="8" t="s">
        <v>25</v>
      </c>
      <c r="G52" s="60">
        <v>1600</v>
      </c>
      <c r="H52" s="6" t="s">
        <v>1475</v>
      </c>
      <c r="I52" s="6" t="s">
        <v>27</v>
      </c>
      <c r="J52" s="6" t="s">
        <v>27</v>
      </c>
      <c r="K52" s="6" t="s">
        <v>27</v>
      </c>
      <c r="L52" s="6" t="s">
        <v>27</v>
      </c>
      <c r="M52" s="6" t="s">
        <v>27</v>
      </c>
      <c r="N52" s="6" t="s">
        <v>27</v>
      </c>
      <c r="O52" s="6" t="s">
        <v>27</v>
      </c>
      <c r="P52" s="6" t="s">
        <v>27</v>
      </c>
      <c r="Q52" s="6"/>
      <c r="R52" s="33">
        <f t="shared" si="0"/>
        <v>2020</v>
      </c>
      <c r="S52" s="33"/>
    </row>
    <row r="53" spans="1:19" ht="14.5" x14ac:dyDescent="0.35">
      <c r="A53" s="7" t="s">
        <v>825</v>
      </c>
      <c r="B53" s="7" t="s">
        <v>826</v>
      </c>
      <c r="C53" s="7" t="s">
        <v>23</v>
      </c>
      <c r="D53" s="7" t="s">
        <v>1600</v>
      </c>
      <c r="E53" s="7" t="s">
        <v>1601</v>
      </c>
      <c r="F53" s="8" t="s">
        <v>25</v>
      </c>
      <c r="G53" s="60">
        <v>2300</v>
      </c>
      <c r="H53" s="6" t="s">
        <v>1475</v>
      </c>
      <c r="I53" s="6" t="s">
        <v>27</v>
      </c>
      <c r="J53" s="6" t="s">
        <v>27</v>
      </c>
      <c r="K53" s="6" t="s">
        <v>27</v>
      </c>
      <c r="L53" s="6" t="s">
        <v>27</v>
      </c>
      <c r="M53" s="6" t="s">
        <v>27</v>
      </c>
      <c r="N53" s="6" t="s">
        <v>27</v>
      </c>
      <c r="O53" s="6" t="s">
        <v>27</v>
      </c>
      <c r="P53" s="6" t="s">
        <v>27</v>
      </c>
      <c r="Q53" s="6"/>
      <c r="R53" s="33">
        <f t="shared" si="0"/>
        <v>2020</v>
      </c>
      <c r="S53" s="36"/>
    </row>
    <row r="54" spans="1:19" ht="14.5" x14ac:dyDescent="0.35">
      <c r="A54" s="7" t="s">
        <v>1602</v>
      </c>
      <c r="B54" s="7" t="s">
        <v>1603</v>
      </c>
      <c r="C54" s="7" t="s">
        <v>37</v>
      </c>
      <c r="D54" s="7" t="s">
        <v>1543</v>
      </c>
      <c r="E54" s="7" t="s">
        <v>1151</v>
      </c>
      <c r="F54" s="8" t="s">
        <v>25</v>
      </c>
      <c r="G54" s="60">
        <v>40800</v>
      </c>
      <c r="H54" s="6" t="s">
        <v>1475</v>
      </c>
      <c r="I54" s="6" t="s">
        <v>27</v>
      </c>
      <c r="J54" s="6" t="s">
        <v>27</v>
      </c>
      <c r="K54" s="6" t="s">
        <v>27</v>
      </c>
      <c r="L54" s="6" t="s">
        <v>27</v>
      </c>
      <c r="M54" s="6" t="s">
        <v>27</v>
      </c>
      <c r="N54" s="6" t="s">
        <v>27</v>
      </c>
      <c r="O54" s="6" t="s">
        <v>27</v>
      </c>
      <c r="P54" s="6" t="s">
        <v>27</v>
      </c>
      <c r="Q54" s="6"/>
      <c r="R54" s="33">
        <f t="shared" si="0"/>
        <v>2021</v>
      </c>
      <c r="S54" s="33"/>
    </row>
    <row r="55" spans="1:19" ht="14.5" x14ac:dyDescent="0.35">
      <c r="A55" s="7" t="s">
        <v>1604</v>
      </c>
      <c r="B55" s="7" t="s">
        <v>1605</v>
      </c>
      <c r="C55" s="7" t="s">
        <v>37</v>
      </c>
      <c r="D55" s="7" t="s">
        <v>1543</v>
      </c>
      <c r="E55" s="7" t="s">
        <v>1183</v>
      </c>
      <c r="F55" s="8" t="s">
        <v>25</v>
      </c>
      <c r="G55" s="60">
        <v>1100</v>
      </c>
      <c r="H55" s="6" t="s">
        <v>1475</v>
      </c>
      <c r="I55" s="6" t="s">
        <v>27</v>
      </c>
      <c r="J55" s="6" t="s">
        <v>27</v>
      </c>
      <c r="K55" s="6" t="s">
        <v>27</v>
      </c>
      <c r="L55" s="6" t="s">
        <v>27</v>
      </c>
      <c r="M55" s="6" t="s">
        <v>27</v>
      </c>
      <c r="N55" s="6" t="s">
        <v>27</v>
      </c>
      <c r="O55" s="6" t="s">
        <v>27</v>
      </c>
      <c r="P55" s="6" t="s">
        <v>27</v>
      </c>
      <c r="Q55" s="6"/>
      <c r="R55" s="33">
        <f t="shared" si="0"/>
        <v>2021</v>
      </c>
      <c r="S55" s="33"/>
    </row>
    <row r="56" spans="1:19" ht="14.5" x14ac:dyDescent="0.35">
      <c r="A56" s="7" t="s">
        <v>1604</v>
      </c>
      <c r="B56" s="7" t="s">
        <v>1605</v>
      </c>
      <c r="C56" s="7" t="s">
        <v>37</v>
      </c>
      <c r="D56" s="7" t="s">
        <v>1606</v>
      </c>
      <c r="E56" s="7" t="s">
        <v>1607</v>
      </c>
      <c r="F56" s="8" t="s">
        <v>53</v>
      </c>
      <c r="G56" s="60">
        <v>15000</v>
      </c>
      <c r="H56" s="6" t="s">
        <v>1475</v>
      </c>
      <c r="I56" s="6" t="s">
        <v>27</v>
      </c>
      <c r="J56" s="6" t="s">
        <v>27</v>
      </c>
      <c r="K56" s="6" t="s">
        <v>27</v>
      </c>
      <c r="L56" s="6" t="s">
        <v>27</v>
      </c>
      <c r="M56" s="6" t="s">
        <v>27</v>
      </c>
      <c r="N56" s="6" t="s">
        <v>27</v>
      </c>
      <c r="O56" s="6" t="s">
        <v>27</v>
      </c>
      <c r="P56" s="6" t="s">
        <v>27</v>
      </c>
      <c r="Q56" s="6"/>
      <c r="R56" s="33">
        <f t="shared" si="0"/>
        <v>2021</v>
      </c>
      <c r="S56" s="33"/>
    </row>
    <row r="57" spans="1:19" ht="14.5" x14ac:dyDescent="0.35">
      <c r="A57" s="7" t="s">
        <v>1332</v>
      </c>
      <c r="B57" s="7" t="s">
        <v>1608</v>
      </c>
      <c r="C57" s="7" t="s">
        <v>23</v>
      </c>
      <c r="D57" s="7" t="s">
        <v>1609</v>
      </c>
      <c r="E57" s="7" t="s">
        <v>1151</v>
      </c>
      <c r="F57" s="8" t="s">
        <v>25</v>
      </c>
      <c r="G57" s="60">
        <v>900</v>
      </c>
      <c r="H57" s="6" t="s">
        <v>1475</v>
      </c>
      <c r="I57" s="6" t="s">
        <v>27</v>
      </c>
      <c r="J57" s="6" t="s">
        <v>27</v>
      </c>
      <c r="K57" s="6" t="s">
        <v>27</v>
      </c>
      <c r="L57" s="6" t="s">
        <v>27</v>
      </c>
      <c r="M57" s="6" t="s">
        <v>27</v>
      </c>
      <c r="N57" s="6" t="s">
        <v>27</v>
      </c>
      <c r="O57" s="6" t="s">
        <v>27</v>
      </c>
      <c r="P57" s="6" t="s">
        <v>27</v>
      </c>
      <c r="Q57" s="6"/>
      <c r="R57" s="33">
        <f t="shared" si="0"/>
        <v>2021</v>
      </c>
      <c r="S57" s="36"/>
    </row>
    <row r="58" spans="1:19" ht="14.5" x14ac:dyDescent="0.35">
      <c r="A58" s="7" t="s">
        <v>1332</v>
      </c>
      <c r="B58" s="7" t="s">
        <v>1608</v>
      </c>
      <c r="C58" s="7" t="s">
        <v>23</v>
      </c>
      <c r="D58" s="7" t="s">
        <v>1610</v>
      </c>
      <c r="E58" s="7" t="s">
        <v>1607</v>
      </c>
      <c r="F58" s="8" t="s">
        <v>53</v>
      </c>
      <c r="G58" s="60">
        <v>5800</v>
      </c>
      <c r="H58" s="6" t="s">
        <v>1475</v>
      </c>
      <c r="I58" s="6" t="s">
        <v>27</v>
      </c>
      <c r="J58" s="6" t="s">
        <v>27</v>
      </c>
      <c r="K58" s="6" t="s">
        <v>27</v>
      </c>
      <c r="L58" s="6" t="s">
        <v>27</v>
      </c>
      <c r="M58" s="6" t="s">
        <v>27</v>
      </c>
      <c r="N58" s="6" t="s">
        <v>27</v>
      </c>
      <c r="O58" s="6" t="s">
        <v>27</v>
      </c>
      <c r="P58" s="6" t="s">
        <v>27</v>
      </c>
      <c r="Q58" s="6"/>
      <c r="R58" s="33">
        <f t="shared" si="0"/>
        <v>2021</v>
      </c>
      <c r="S58" s="36"/>
    </row>
    <row r="59" spans="1:19" ht="14.5" x14ac:dyDescent="0.35">
      <c r="A59" s="7" t="s">
        <v>1332</v>
      </c>
      <c r="B59" s="7" t="s">
        <v>1608</v>
      </c>
      <c r="C59" s="7" t="s">
        <v>23</v>
      </c>
      <c r="D59" s="7" t="s">
        <v>1606</v>
      </c>
      <c r="E59" s="7" t="s">
        <v>1607</v>
      </c>
      <c r="F59" s="8" t="s">
        <v>77</v>
      </c>
      <c r="G59" s="60">
        <v>103250</v>
      </c>
      <c r="H59" s="6" t="s">
        <v>1475</v>
      </c>
      <c r="I59" s="6" t="s">
        <v>27</v>
      </c>
      <c r="J59" s="6" t="s">
        <v>27</v>
      </c>
      <c r="K59" s="6" t="s">
        <v>27</v>
      </c>
      <c r="L59" s="6" t="s">
        <v>27</v>
      </c>
      <c r="M59" s="6" t="s">
        <v>27</v>
      </c>
      <c r="N59" s="6" t="s">
        <v>27</v>
      </c>
      <c r="O59" s="6" t="s">
        <v>27</v>
      </c>
      <c r="P59" s="6" t="s">
        <v>27</v>
      </c>
      <c r="Q59" s="6"/>
      <c r="R59" s="33">
        <f t="shared" si="0"/>
        <v>2021</v>
      </c>
      <c r="S59" s="36"/>
    </row>
    <row r="60" spans="1:19" ht="14.5" x14ac:dyDescent="0.35">
      <c r="A60" s="7" t="s">
        <v>1611</v>
      </c>
      <c r="B60" s="7" t="s">
        <v>1612</v>
      </c>
      <c r="C60" s="7" t="s">
        <v>48</v>
      </c>
      <c r="D60" s="7" t="s">
        <v>1613</v>
      </c>
      <c r="E60" s="7" t="s">
        <v>1614</v>
      </c>
      <c r="F60" s="8" t="s">
        <v>25</v>
      </c>
      <c r="G60" s="60">
        <v>2200</v>
      </c>
      <c r="H60" s="6" t="s">
        <v>749</v>
      </c>
      <c r="I60" s="175"/>
      <c r="J60" s="175"/>
      <c r="K60" s="175"/>
      <c r="L60" s="175"/>
      <c r="M60" s="175"/>
      <c r="N60" s="175"/>
      <c r="O60" s="175"/>
      <c r="P60" s="175"/>
      <c r="Q60" s="6"/>
      <c r="R60" s="33">
        <f t="shared" si="0"/>
        <v>2021</v>
      </c>
      <c r="S60" s="33"/>
    </row>
    <row r="61" spans="1:19" ht="14.5" x14ac:dyDescent="0.35">
      <c r="A61" s="7" t="s">
        <v>1615</v>
      </c>
      <c r="B61" s="7" t="s">
        <v>1616</v>
      </c>
      <c r="C61" s="7" t="s">
        <v>23</v>
      </c>
      <c r="D61" s="7" t="s">
        <v>1617</v>
      </c>
      <c r="E61" s="7" t="s">
        <v>1607</v>
      </c>
      <c r="F61" s="8" t="s">
        <v>25</v>
      </c>
      <c r="G61" s="60">
        <v>14500</v>
      </c>
      <c r="H61" s="6" t="s">
        <v>1475</v>
      </c>
      <c r="I61" s="6" t="s">
        <v>27</v>
      </c>
      <c r="J61" s="6" t="s">
        <v>27</v>
      </c>
      <c r="K61" s="6" t="s">
        <v>27</v>
      </c>
      <c r="L61" s="6" t="s">
        <v>27</v>
      </c>
      <c r="M61" s="6" t="s">
        <v>27</v>
      </c>
      <c r="N61" s="6" t="s">
        <v>27</v>
      </c>
      <c r="O61" s="6" t="s">
        <v>27</v>
      </c>
      <c r="P61" s="6" t="s">
        <v>27</v>
      </c>
      <c r="Q61" s="6"/>
      <c r="R61" s="33">
        <f t="shared" si="0"/>
        <v>2021</v>
      </c>
      <c r="S61" s="36"/>
    </row>
    <row r="62" spans="1:19" ht="14.5" x14ac:dyDescent="0.35">
      <c r="A62" s="7" t="s">
        <v>1615</v>
      </c>
      <c r="B62" s="7" t="s">
        <v>1616</v>
      </c>
      <c r="C62" s="7" t="s">
        <v>23</v>
      </c>
      <c r="D62" s="7" t="s">
        <v>1545</v>
      </c>
      <c r="E62" s="7" t="s">
        <v>1183</v>
      </c>
      <c r="F62" s="8" t="s">
        <v>53</v>
      </c>
      <c r="G62" s="60">
        <v>12456</v>
      </c>
      <c r="H62" s="6" t="s">
        <v>1475</v>
      </c>
      <c r="I62" s="6" t="s">
        <v>27</v>
      </c>
      <c r="J62" s="6" t="s">
        <v>27</v>
      </c>
      <c r="K62" s="6" t="s">
        <v>27</v>
      </c>
      <c r="L62" s="6" t="s">
        <v>27</v>
      </c>
      <c r="M62" s="6" t="s">
        <v>27</v>
      </c>
      <c r="N62" s="6" t="s">
        <v>27</v>
      </c>
      <c r="O62" s="6" t="s">
        <v>27</v>
      </c>
      <c r="P62" s="6" t="s">
        <v>27</v>
      </c>
      <c r="Q62" s="6"/>
      <c r="R62" s="33">
        <f t="shared" si="0"/>
        <v>2021</v>
      </c>
      <c r="S62" s="36"/>
    </row>
    <row r="63" spans="1:19" ht="14.5" x14ac:dyDescent="0.35">
      <c r="A63" s="7" t="s">
        <v>1618</v>
      </c>
      <c r="B63" s="7" t="s">
        <v>855</v>
      </c>
      <c r="C63" s="7" t="s">
        <v>42</v>
      </c>
      <c r="D63" s="7" t="s">
        <v>1619</v>
      </c>
      <c r="E63" s="7" t="s">
        <v>1551</v>
      </c>
      <c r="F63" s="8" t="s">
        <v>25</v>
      </c>
      <c r="G63" s="60">
        <v>1400</v>
      </c>
      <c r="H63" s="6" t="s">
        <v>1475</v>
      </c>
      <c r="I63" s="6" t="s">
        <v>27</v>
      </c>
      <c r="J63" s="6" t="s">
        <v>27</v>
      </c>
      <c r="K63" s="6" t="s">
        <v>27</v>
      </c>
      <c r="L63" s="6" t="s">
        <v>27</v>
      </c>
      <c r="M63" s="6" t="s">
        <v>27</v>
      </c>
      <c r="N63" s="6" t="s">
        <v>27</v>
      </c>
      <c r="O63" s="6" t="s">
        <v>27</v>
      </c>
      <c r="P63" s="6" t="s">
        <v>27</v>
      </c>
      <c r="Q63" s="6"/>
      <c r="R63" s="33">
        <f t="shared" si="0"/>
        <v>2021</v>
      </c>
      <c r="S63" s="33"/>
    </row>
    <row r="64" spans="1:19" ht="14.5" x14ac:dyDescent="0.35">
      <c r="A64" s="7" t="s">
        <v>1618</v>
      </c>
      <c r="B64" s="7" t="s">
        <v>855</v>
      </c>
      <c r="C64" s="7" t="s">
        <v>42</v>
      </c>
      <c r="D64" s="7" t="s">
        <v>1501</v>
      </c>
      <c r="E64" s="7" t="s">
        <v>1186</v>
      </c>
      <c r="F64" s="8" t="s">
        <v>53</v>
      </c>
      <c r="G64" s="60">
        <v>52480</v>
      </c>
      <c r="H64" s="6" t="s">
        <v>1475</v>
      </c>
      <c r="I64" s="6" t="s">
        <v>27</v>
      </c>
      <c r="J64" s="6" t="s">
        <v>27</v>
      </c>
      <c r="K64" s="6" t="s">
        <v>27</v>
      </c>
      <c r="L64" s="6" t="s">
        <v>27</v>
      </c>
      <c r="M64" s="6" t="s">
        <v>27</v>
      </c>
      <c r="N64" s="6" t="s">
        <v>27</v>
      </c>
      <c r="O64" s="6" t="s">
        <v>27</v>
      </c>
      <c r="P64" s="6" t="s">
        <v>27</v>
      </c>
      <c r="Q64" s="6"/>
      <c r="R64" s="33">
        <f t="shared" si="0"/>
        <v>2021</v>
      </c>
      <c r="S64" s="33"/>
    </row>
    <row r="65" spans="1:19" ht="14.5" x14ac:dyDescent="0.35">
      <c r="A65" s="7" t="s">
        <v>1618</v>
      </c>
      <c r="B65" s="7" t="s">
        <v>855</v>
      </c>
      <c r="C65" s="7" t="s">
        <v>42</v>
      </c>
      <c r="D65" s="7" t="s">
        <v>1620</v>
      </c>
      <c r="E65" s="7" t="s">
        <v>1621</v>
      </c>
      <c r="F65" s="8" t="s">
        <v>25</v>
      </c>
      <c r="G65" s="60">
        <v>650</v>
      </c>
      <c r="H65" s="6" t="s">
        <v>1475</v>
      </c>
      <c r="I65" s="6" t="s">
        <v>27</v>
      </c>
      <c r="J65" s="6" t="s">
        <v>27</v>
      </c>
      <c r="K65" s="6" t="s">
        <v>27</v>
      </c>
      <c r="L65" s="6" t="s">
        <v>27</v>
      </c>
      <c r="M65" s="6" t="s">
        <v>27</v>
      </c>
      <c r="N65" s="6" t="s">
        <v>27</v>
      </c>
      <c r="O65" s="6" t="s">
        <v>27</v>
      </c>
      <c r="P65" s="6" t="s">
        <v>27</v>
      </c>
      <c r="Q65" s="6"/>
      <c r="R65" s="33">
        <f t="shared" si="0"/>
        <v>2021</v>
      </c>
      <c r="S65" s="33"/>
    </row>
    <row r="66" spans="1:19" ht="14.5" x14ac:dyDescent="0.35">
      <c r="A66" s="7" t="s">
        <v>1618</v>
      </c>
      <c r="B66" s="7" t="s">
        <v>855</v>
      </c>
      <c r="C66" s="7" t="s">
        <v>42</v>
      </c>
      <c r="D66" s="7" t="s">
        <v>1478</v>
      </c>
      <c r="E66" s="7" t="s">
        <v>1622</v>
      </c>
      <c r="F66" s="8" t="s">
        <v>25</v>
      </c>
      <c r="G66" s="60">
        <v>50000</v>
      </c>
      <c r="H66" s="6" t="s">
        <v>1475</v>
      </c>
      <c r="I66" s="6" t="s">
        <v>27</v>
      </c>
      <c r="J66" s="6" t="s">
        <v>27</v>
      </c>
      <c r="K66" s="6" t="s">
        <v>27</v>
      </c>
      <c r="L66" s="6" t="s">
        <v>27</v>
      </c>
      <c r="M66" s="6" t="s">
        <v>27</v>
      </c>
      <c r="N66" s="6" t="s">
        <v>27</v>
      </c>
      <c r="O66" s="6" t="s">
        <v>27</v>
      </c>
      <c r="P66" s="6" t="s">
        <v>27</v>
      </c>
      <c r="Q66" s="6"/>
      <c r="R66" s="33">
        <f t="shared" si="0"/>
        <v>2021</v>
      </c>
      <c r="S66" s="33"/>
    </row>
    <row r="67" spans="1:19" ht="14.5" x14ac:dyDescent="0.35">
      <c r="A67" s="7" t="s">
        <v>1618</v>
      </c>
      <c r="B67" s="7" t="s">
        <v>855</v>
      </c>
      <c r="C67" s="7" t="s">
        <v>42</v>
      </c>
      <c r="D67" s="7" t="s">
        <v>1623</v>
      </c>
      <c r="E67" s="7" t="s">
        <v>1624</v>
      </c>
      <c r="F67" s="8" t="s">
        <v>53</v>
      </c>
      <c r="G67" s="60">
        <v>6000</v>
      </c>
      <c r="H67" s="6" t="s">
        <v>1475</v>
      </c>
      <c r="I67" s="6" t="s">
        <v>27</v>
      </c>
      <c r="J67" s="6" t="s">
        <v>27</v>
      </c>
      <c r="K67" s="6" t="s">
        <v>27</v>
      </c>
      <c r="L67" s="6" t="s">
        <v>27</v>
      </c>
      <c r="M67" s="6" t="s">
        <v>27</v>
      </c>
      <c r="N67" s="6" t="s">
        <v>27</v>
      </c>
      <c r="O67" s="6" t="s">
        <v>27</v>
      </c>
      <c r="P67" s="6" t="s">
        <v>27</v>
      </c>
      <c r="Q67" s="6"/>
      <c r="R67" s="33">
        <f t="shared" ref="R67:R86" si="1">IFERROR(2000+VALUE(LEFT(A67,2)),"")</f>
        <v>2021</v>
      </c>
      <c r="S67" s="33"/>
    </row>
    <row r="68" spans="1:19" ht="14.5" x14ac:dyDescent="0.35">
      <c r="A68" s="7" t="s">
        <v>1618</v>
      </c>
      <c r="B68" s="7" t="s">
        <v>855</v>
      </c>
      <c r="C68" s="7" t="s">
        <v>42</v>
      </c>
      <c r="D68" s="7" t="s">
        <v>1625</v>
      </c>
      <c r="E68" s="7" t="s">
        <v>1626</v>
      </c>
      <c r="F68" s="8" t="s">
        <v>25</v>
      </c>
      <c r="G68" s="60">
        <v>6000</v>
      </c>
      <c r="H68" s="6" t="s">
        <v>1475</v>
      </c>
      <c r="I68" s="6" t="s">
        <v>27</v>
      </c>
      <c r="J68" s="6" t="s">
        <v>27</v>
      </c>
      <c r="K68" s="6" t="s">
        <v>27</v>
      </c>
      <c r="L68" s="6" t="s">
        <v>27</v>
      </c>
      <c r="M68" s="6" t="s">
        <v>27</v>
      </c>
      <c r="N68" s="6" t="s">
        <v>27</v>
      </c>
      <c r="O68" s="6" t="s">
        <v>27</v>
      </c>
      <c r="P68" s="6" t="s">
        <v>27</v>
      </c>
      <c r="Q68" s="6"/>
      <c r="R68" s="33">
        <f t="shared" si="1"/>
        <v>2021</v>
      </c>
      <c r="S68" s="33"/>
    </row>
    <row r="69" spans="1:19" ht="14.5" x14ac:dyDescent="0.35">
      <c r="A69" s="7" t="s">
        <v>1618</v>
      </c>
      <c r="B69" s="7" t="s">
        <v>855</v>
      </c>
      <c r="C69" s="7" t="s">
        <v>42</v>
      </c>
      <c r="D69" s="7" t="s">
        <v>1627</v>
      </c>
      <c r="E69" s="7" t="s">
        <v>819</v>
      </c>
      <c r="F69" s="8" t="s">
        <v>25</v>
      </c>
      <c r="G69" s="60">
        <v>6660</v>
      </c>
      <c r="H69" s="6" t="s">
        <v>1475</v>
      </c>
      <c r="I69" s="6" t="s">
        <v>27</v>
      </c>
      <c r="J69" s="6" t="s">
        <v>27</v>
      </c>
      <c r="K69" s="6" t="s">
        <v>27</v>
      </c>
      <c r="L69" s="6" t="s">
        <v>27</v>
      </c>
      <c r="M69" s="6" t="s">
        <v>27</v>
      </c>
      <c r="N69" s="6" t="s">
        <v>27</v>
      </c>
      <c r="O69" s="6" t="s">
        <v>27</v>
      </c>
      <c r="P69" s="6" t="s">
        <v>27</v>
      </c>
      <c r="Q69" s="6"/>
      <c r="R69" s="33">
        <f t="shared" si="1"/>
        <v>2021</v>
      </c>
      <c r="S69" s="33"/>
    </row>
    <row r="70" spans="1:19" ht="14.5" x14ac:dyDescent="0.35">
      <c r="A70" s="7" t="s">
        <v>1618</v>
      </c>
      <c r="B70" s="7" t="s">
        <v>855</v>
      </c>
      <c r="C70" s="7" t="s">
        <v>42</v>
      </c>
      <c r="D70" s="7" t="s">
        <v>1628</v>
      </c>
      <c r="E70" s="7" t="s">
        <v>1629</v>
      </c>
      <c r="F70" s="8" t="s">
        <v>25</v>
      </c>
      <c r="G70" s="60">
        <v>3300</v>
      </c>
      <c r="H70" s="6" t="s">
        <v>1475</v>
      </c>
      <c r="I70" s="6" t="s">
        <v>27</v>
      </c>
      <c r="J70" s="6" t="s">
        <v>27</v>
      </c>
      <c r="K70" s="6" t="s">
        <v>27</v>
      </c>
      <c r="L70" s="6" t="s">
        <v>27</v>
      </c>
      <c r="M70" s="6" t="s">
        <v>27</v>
      </c>
      <c r="N70" s="6" t="s">
        <v>27</v>
      </c>
      <c r="O70" s="6" t="s">
        <v>27</v>
      </c>
      <c r="P70" s="6" t="s">
        <v>27</v>
      </c>
      <c r="Q70" s="6"/>
      <c r="R70" s="33">
        <f t="shared" si="1"/>
        <v>2021</v>
      </c>
      <c r="S70" s="33"/>
    </row>
    <row r="71" spans="1:19" ht="14.5" x14ac:dyDescent="0.35">
      <c r="A71" s="7" t="s">
        <v>1630</v>
      </c>
      <c r="B71" s="7" t="s">
        <v>1631</v>
      </c>
      <c r="C71" s="7" t="s">
        <v>37</v>
      </c>
      <c r="D71" s="7" t="s">
        <v>1617</v>
      </c>
      <c r="E71" s="7" t="s">
        <v>1607</v>
      </c>
      <c r="F71" s="8" t="s">
        <v>25</v>
      </c>
      <c r="G71" s="60">
        <v>30000</v>
      </c>
      <c r="H71" s="6" t="s">
        <v>1475</v>
      </c>
      <c r="I71" s="6" t="s">
        <v>27</v>
      </c>
      <c r="J71" s="6" t="s">
        <v>27</v>
      </c>
      <c r="K71" s="6" t="s">
        <v>27</v>
      </c>
      <c r="L71" s="6" t="s">
        <v>27</v>
      </c>
      <c r="M71" s="6" t="s">
        <v>27</v>
      </c>
      <c r="N71" s="6" t="s">
        <v>27</v>
      </c>
      <c r="O71" s="6" t="s">
        <v>27</v>
      </c>
      <c r="P71" s="6" t="s">
        <v>27</v>
      </c>
      <c r="Q71" s="6"/>
      <c r="R71" s="33">
        <f t="shared" si="1"/>
        <v>2021</v>
      </c>
      <c r="S71" s="33"/>
    </row>
    <row r="72" spans="1:19" ht="14.5" x14ac:dyDescent="0.35">
      <c r="A72" s="7" t="s">
        <v>1630</v>
      </c>
      <c r="B72" s="7" t="s">
        <v>1631</v>
      </c>
      <c r="C72" s="7" t="s">
        <v>37</v>
      </c>
      <c r="D72" s="7" t="s">
        <v>1632</v>
      </c>
      <c r="E72" s="7" t="s">
        <v>1183</v>
      </c>
      <c r="F72" s="8" t="s">
        <v>25</v>
      </c>
      <c r="G72" s="60">
        <v>120000</v>
      </c>
      <c r="H72" s="6" t="s">
        <v>1475</v>
      </c>
      <c r="I72" s="6" t="s">
        <v>27</v>
      </c>
      <c r="J72" s="6" t="s">
        <v>27</v>
      </c>
      <c r="K72" s="6" t="s">
        <v>27</v>
      </c>
      <c r="L72" s="6" t="s">
        <v>27</v>
      </c>
      <c r="M72" s="6" t="s">
        <v>27</v>
      </c>
      <c r="N72" s="6" t="s">
        <v>27</v>
      </c>
      <c r="O72" s="6" t="s">
        <v>27</v>
      </c>
      <c r="P72" s="6" t="s">
        <v>27</v>
      </c>
      <c r="Q72" s="6"/>
      <c r="R72" s="33">
        <f t="shared" si="1"/>
        <v>2021</v>
      </c>
      <c r="S72" s="33"/>
    </row>
    <row r="73" spans="1:19" ht="14.5" x14ac:dyDescent="0.35">
      <c r="A73" s="7" t="s">
        <v>1630</v>
      </c>
      <c r="B73" s="7" t="s">
        <v>1631</v>
      </c>
      <c r="C73" s="7" t="s">
        <v>37</v>
      </c>
      <c r="D73" s="7" t="s">
        <v>1585</v>
      </c>
      <c r="E73" s="7" t="s">
        <v>1633</v>
      </c>
      <c r="F73" s="8" t="s">
        <v>25</v>
      </c>
      <c r="G73" s="60">
        <v>1400</v>
      </c>
      <c r="H73" s="6" t="s">
        <v>1475</v>
      </c>
      <c r="I73" s="6" t="s">
        <v>27</v>
      </c>
      <c r="J73" s="6" t="s">
        <v>27</v>
      </c>
      <c r="K73" s="6" t="s">
        <v>27</v>
      </c>
      <c r="L73" s="6" t="s">
        <v>27</v>
      </c>
      <c r="M73" s="6" t="s">
        <v>27</v>
      </c>
      <c r="N73" s="6" t="s">
        <v>27</v>
      </c>
      <c r="O73" s="6" t="s">
        <v>27</v>
      </c>
      <c r="P73" s="6" t="s">
        <v>27</v>
      </c>
      <c r="Q73" s="6"/>
      <c r="R73" s="33">
        <f t="shared" si="1"/>
        <v>2021</v>
      </c>
      <c r="S73" s="33"/>
    </row>
    <row r="74" spans="1:19" ht="14.5" x14ac:dyDescent="0.35">
      <c r="A74" s="7" t="s">
        <v>1634</v>
      </c>
      <c r="B74" s="7" t="s">
        <v>870</v>
      </c>
      <c r="C74" s="7" t="s">
        <v>37</v>
      </c>
      <c r="D74" s="7" t="s">
        <v>1632</v>
      </c>
      <c r="E74" s="7" t="s">
        <v>1183</v>
      </c>
      <c r="F74" s="8" t="s">
        <v>25</v>
      </c>
      <c r="G74" s="60">
        <v>39500</v>
      </c>
      <c r="H74" s="6" t="s">
        <v>1475</v>
      </c>
      <c r="I74" s="6" t="s">
        <v>27</v>
      </c>
      <c r="J74" s="6" t="s">
        <v>27</v>
      </c>
      <c r="K74" s="6" t="s">
        <v>27</v>
      </c>
      <c r="L74" s="6" t="s">
        <v>27</v>
      </c>
      <c r="M74" s="6" t="s">
        <v>27</v>
      </c>
      <c r="N74" s="6" t="s">
        <v>27</v>
      </c>
      <c r="O74" s="6" t="s">
        <v>27</v>
      </c>
      <c r="P74" s="6" t="s">
        <v>27</v>
      </c>
      <c r="Q74" s="6"/>
      <c r="R74" s="33">
        <f t="shared" si="1"/>
        <v>2021</v>
      </c>
      <c r="S74" s="33"/>
    </row>
    <row r="75" spans="1:19" ht="14.5" x14ac:dyDescent="0.35">
      <c r="A75" s="7" t="s">
        <v>1634</v>
      </c>
      <c r="B75" s="7" t="s">
        <v>870</v>
      </c>
      <c r="C75" s="7" t="s">
        <v>37</v>
      </c>
      <c r="D75" s="7" t="s">
        <v>1635</v>
      </c>
      <c r="E75" s="7" t="s">
        <v>1489</v>
      </c>
      <c r="F75" s="8" t="s">
        <v>25</v>
      </c>
      <c r="G75" s="60">
        <v>4761.8999999999996</v>
      </c>
      <c r="H75" s="6" t="s">
        <v>1475</v>
      </c>
      <c r="I75" s="6" t="s">
        <v>27</v>
      </c>
      <c r="J75" s="6" t="s">
        <v>27</v>
      </c>
      <c r="K75" s="6" t="s">
        <v>27</v>
      </c>
      <c r="L75" s="6" t="s">
        <v>27</v>
      </c>
      <c r="M75" s="6" t="s">
        <v>27</v>
      </c>
      <c r="N75" s="6" t="s">
        <v>27</v>
      </c>
      <c r="O75" s="6" t="s">
        <v>27</v>
      </c>
      <c r="P75" s="6" t="s">
        <v>27</v>
      </c>
      <c r="Q75" s="6"/>
      <c r="R75" s="33">
        <f t="shared" si="1"/>
        <v>2021</v>
      </c>
      <c r="S75" s="33"/>
    </row>
    <row r="76" spans="1:19" ht="14.5" x14ac:dyDescent="0.35">
      <c r="A76" s="7" t="s">
        <v>1636</v>
      </c>
      <c r="B76" s="7" t="s">
        <v>874</v>
      </c>
      <c r="C76" s="7" t="s">
        <v>82</v>
      </c>
      <c r="D76" s="7" t="s">
        <v>1632</v>
      </c>
      <c r="E76" s="7" t="s">
        <v>1637</v>
      </c>
      <c r="F76" s="8" t="s">
        <v>53</v>
      </c>
      <c r="G76" s="60">
        <v>1800</v>
      </c>
      <c r="H76" s="6" t="s">
        <v>1475</v>
      </c>
      <c r="I76" s="6" t="s">
        <v>27</v>
      </c>
      <c r="J76" s="6" t="s">
        <v>27</v>
      </c>
      <c r="K76" s="6" t="s">
        <v>27</v>
      </c>
      <c r="L76" s="6" t="s">
        <v>27</v>
      </c>
      <c r="M76" s="6" t="s">
        <v>27</v>
      </c>
      <c r="N76" s="6" t="s">
        <v>27</v>
      </c>
      <c r="O76" s="6" t="s">
        <v>27</v>
      </c>
      <c r="P76" s="6" t="s">
        <v>27</v>
      </c>
      <c r="Q76" s="6"/>
      <c r="R76" s="33">
        <f t="shared" si="1"/>
        <v>2021</v>
      </c>
      <c r="S76" s="33"/>
    </row>
    <row r="77" spans="1:19" ht="14.5" x14ac:dyDescent="0.35">
      <c r="A77" s="7" t="s">
        <v>1636</v>
      </c>
      <c r="B77" s="7" t="s">
        <v>874</v>
      </c>
      <c r="C77" s="7" t="s">
        <v>82</v>
      </c>
      <c r="D77" s="7" t="s">
        <v>1527</v>
      </c>
      <c r="E77" s="7" t="s">
        <v>1607</v>
      </c>
      <c r="F77" s="8" t="s">
        <v>53</v>
      </c>
      <c r="G77" s="60">
        <v>16000</v>
      </c>
      <c r="H77" s="6" t="s">
        <v>1475</v>
      </c>
      <c r="I77" s="6" t="s">
        <v>27</v>
      </c>
      <c r="J77" s="6" t="s">
        <v>27</v>
      </c>
      <c r="K77" s="6" t="s">
        <v>27</v>
      </c>
      <c r="L77" s="6" t="s">
        <v>27</v>
      </c>
      <c r="M77" s="6" t="s">
        <v>27</v>
      </c>
      <c r="N77" s="6" t="s">
        <v>27</v>
      </c>
      <c r="O77" s="6" t="s">
        <v>27</v>
      </c>
      <c r="P77" s="6" t="s">
        <v>27</v>
      </c>
      <c r="Q77" s="6"/>
      <c r="R77" s="33">
        <f t="shared" si="1"/>
        <v>2021</v>
      </c>
      <c r="S77" s="33"/>
    </row>
    <row r="78" spans="1:19" ht="14.5" x14ac:dyDescent="0.35">
      <c r="A78" s="7" t="s">
        <v>1638</v>
      </c>
      <c r="B78" s="7" t="s">
        <v>1639</v>
      </c>
      <c r="C78" s="7" t="s">
        <v>42</v>
      </c>
      <c r="D78" s="7" t="s">
        <v>1640</v>
      </c>
      <c r="E78" s="7" t="s">
        <v>1575</v>
      </c>
      <c r="F78" s="8" t="s">
        <v>53</v>
      </c>
      <c r="G78" s="60">
        <v>3780</v>
      </c>
      <c r="H78" s="6" t="s">
        <v>1475</v>
      </c>
      <c r="I78" s="6" t="s">
        <v>27</v>
      </c>
      <c r="J78" s="6" t="s">
        <v>27</v>
      </c>
      <c r="K78" s="6" t="s">
        <v>27</v>
      </c>
      <c r="L78" s="6" t="s">
        <v>27</v>
      </c>
      <c r="M78" s="6" t="s">
        <v>27</v>
      </c>
      <c r="N78" s="6" t="s">
        <v>27</v>
      </c>
      <c r="O78" s="6" t="s">
        <v>27</v>
      </c>
      <c r="P78" s="6" t="s">
        <v>27</v>
      </c>
      <c r="Q78" s="6"/>
      <c r="R78" s="33">
        <f t="shared" si="1"/>
        <v>2021</v>
      </c>
      <c r="S78" s="33"/>
    </row>
    <row r="79" spans="1:19" ht="14.5" x14ac:dyDescent="0.35">
      <c r="A79" s="7" t="s">
        <v>1641</v>
      </c>
      <c r="B79" s="7" t="s">
        <v>1642</v>
      </c>
      <c r="C79" s="7" t="s">
        <v>37</v>
      </c>
      <c r="D79" s="7" t="s">
        <v>1643</v>
      </c>
      <c r="E79" s="7" t="s">
        <v>1644</v>
      </c>
      <c r="F79" s="8" t="s">
        <v>25</v>
      </c>
      <c r="G79" s="60">
        <v>1140</v>
      </c>
      <c r="H79" s="6" t="s">
        <v>1475</v>
      </c>
      <c r="I79" s="6" t="s">
        <v>27</v>
      </c>
      <c r="J79" s="6" t="s">
        <v>27</v>
      </c>
      <c r="K79" s="6" t="s">
        <v>27</v>
      </c>
      <c r="L79" s="6" t="s">
        <v>27</v>
      </c>
      <c r="M79" s="6" t="s">
        <v>27</v>
      </c>
      <c r="N79" s="6" t="s">
        <v>27</v>
      </c>
      <c r="O79" s="6" t="s">
        <v>27</v>
      </c>
      <c r="P79" s="6" t="s">
        <v>27</v>
      </c>
      <c r="Q79" s="6"/>
      <c r="R79" s="33">
        <f t="shared" si="1"/>
        <v>2021</v>
      </c>
      <c r="S79" s="33"/>
    </row>
    <row r="80" spans="1:19" ht="14.5" x14ac:dyDescent="0.35">
      <c r="A80" s="7" t="s">
        <v>1641</v>
      </c>
      <c r="B80" s="7" t="s">
        <v>1642</v>
      </c>
      <c r="C80" s="7" t="s">
        <v>37</v>
      </c>
      <c r="D80" s="7" t="s">
        <v>1632</v>
      </c>
      <c r="E80" s="7" t="s">
        <v>1637</v>
      </c>
      <c r="F80" s="8" t="s">
        <v>25</v>
      </c>
      <c r="G80" s="60">
        <v>4000</v>
      </c>
      <c r="H80" s="6" t="s">
        <v>1475</v>
      </c>
      <c r="I80" s="6" t="s">
        <v>27</v>
      </c>
      <c r="J80" s="6" t="s">
        <v>27</v>
      </c>
      <c r="K80" s="6" t="s">
        <v>27</v>
      </c>
      <c r="L80" s="6" t="s">
        <v>27</v>
      </c>
      <c r="M80" s="6" t="s">
        <v>27</v>
      </c>
      <c r="N80" s="6" t="s">
        <v>27</v>
      </c>
      <c r="O80" s="6" t="s">
        <v>27</v>
      </c>
      <c r="P80" s="6" t="s">
        <v>27</v>
      </c>
      <c r="Q80" s="6"/>
      <c r="R80" s="33">
        <f t="shared" si="1"/>
        <v>2021</v>
      </c>
      <c r="S80" s="33"/>
    </row>
    <row r="81" spans="1:19" ht="14.5" x14ac:dyDescent="0.35">
      <c r="A81" s="7" t="s">
        <v>1641</v>
      </c>
      <c r="B81" s="7" t="s">
        <v>1642</v>
      </c>
      <c r="C81" s="7" t="s">
        <v>37</v>
      </c>
      <c r="D81" s="7" t="s">
        <v>1645</v>
      </c>
      <c r="E81" s="7" t="s">
        <v>1644</v>
      </c>
      <c r="F81" s="8" t="s">
        <v>53</v>
      </c>
      <c r="G81" s="60">
        <v>206568</v>
      </c>
      <c r="H81" s="6" t="s">
        <v>1475</v>
      </c>
      <c r="I81" s="6" t="s">
        <v>27</v>
      </c>
      <c r="J81" s="6" t="s">
        <v>27</v>
      </c>
      <c r="K81" s="6" t="s">
        <v>27</v>
      </c>
      <c r="L81" s="6" t="s">
        <v>27</v>
      </c>
      <c r="M81" s="6" t="s">
        <v>27</v>
      </c>
      <c r="N81" s="6" t="s">
        <v>27</v>
      </c>
      <c r="O81" s="6" t="s">
        <v>27</v>
      </c>
      <c r="P81" s="6" t="s">
        <v>27</v>
      </c>
      <c r="Q81" s="6"/>
      <c r="R81" s="33">
        <f t="shared" si="1"/>
        <v>2021</v>
      </c>
      <c r="S81" s="33"/>
    </row>
    <row r="82" spans="1:19" ht="14.5" x14ac:dyDescent="0.35">
      <c r="A82" s="7" t="s">
        <v>1646</v>
      </c>
      <c r="B82" s="7" t="s">
        <v>1647</v>
      </c>
      <c r="C82" s="7" t="s">
        <v>23</v>
      </c>
      <c r="D82" s="7" t="s">
        <v>1632</v>
      </c>
      <c r="E82" s="7" t="s">
        <v>1183</v>
      </c>
      <c r="F82" s="8" t="s">
        <v>25</v>
      </c>
      <c r="G82" s="60">
        <v>222335</v>
      </c>
      <c r="H82" s="6" t="s">
        <v>1475</v>
      </c>
      <c r="I82" s="6" t="s">
        <v>27</v>
      </c>
      <c r="J82" s="6" t="s">
        <v>27</v>
      </c>
      <c r="K82" s="6" t="s">
        <v>27</v>
      </c>
      <c r="L82" s="6" t="s">
        <v>27</v>
      </c>
      <c r="M82" s="6" t="s">
        <v>27</v>
      </c>
      <c r="N82" s="6" t="s">
        <v>27</v>
      </c>
      <c r="O82" s="6" t="s">
        <v>27</v>
      </c>
      <c r="P82" s="6" t="s">
        <v>27</v>
      </c>
      <c r="Q82" s="6"/>
      <c r="R82" s="33">
        <f t="shared" si="1"/>
        <v>2021</v>
      </c>
      <c r="S82" s="36"/>
    </row>
    <row r="83" spans="1:19" ht="14.5" x14ac:dyDescent="0.35">
      <c r="A83" s="7" t="s">
        <v>1646</v>
      </c>
      <c r="B83" s="7" t="s">
        <v>1647</v>
      </c>
      <c r="C83" s="7" t="s">
        <v>23</v>
      </c>
      <c r="D83" s="7" t="s">
        <v>1527</v>
      </c>
      <c r="E83" s="7" t="s">
        <v>1607</v>
      </c>
      <c r="F83" s="8" t="s">
        <v>53</v>
      </c>
      <c r="G83" s="60">
        <v>16696</v>
      </c>
      <c r="H83" s="6" t="s">
        <v>1475</v>
      </c>
      <c r="I83" s="6" t="s">
        <v>27</v>
      </c>
      <c r="J83" s="6" t="s">
        <v>27</v>
      </c>
      <c r="K83" s="6" t="s">
        <v>27</v>
      </c>
      <c r="L83" s="6" t="s">
        <v>27</v>
      </c>
      <c r="M83" s="6" t="s">
        <v>27</v>
      </c>
      <c r="N83" s="6" t="s">
        <v>27</v>
      </c>
      <c r="O83" s="6" t="s">
        <v>27</v>
      </c>
      <c r="P83" s="6" t="s">
        <v>27</v>
      </c>
      <c r="Q83" s="6"/>
      <c r="R83" s="33">
        <f t="shared" si="1"/>
        <v>2021</v>
      </c>
      <c r="S83" s="36"/>
    </row>
    <row r="84" spans="1:19" ht="14.5" x14ac:dyDescent="0.35">
      <c r="A84" s="7" t="s">
        <v>1648</v>
      </c>
      <c r="B84" s="7" t="s">
        <v>885</v>
      </c>
      <c r="C84" s="7" t="s">
        <v>23</v>
      </c>
      <c r="D84" s="7" t="s">
        <v>1545</v>
      </c>
      <c r="E84" s="7" t="s">
        <v>1183</v>
      </c>
      <c r="F84" s="8" t="s">
        <v>25</v>
      </c>
      <c r="G84" s="60">
        <v>1500</v>
      </c>
      <c r="H84" s="6" t="s">
        <v>1475</v>
      </c>
      <c r="I84" s="6" t="s">
        <v>27</v>
      </c>
      <c r="J84" s="6" t="s">
        <v>27</v>
      </c>
      <c r="K84" s="6" t="s">
        <v>27</v>
      </c>
      <c r="L84" s="6" t="s">
        <v>27</v>
      </c>
      <c r="M84" s="6" t="s">
        <v>27</v>
      </c>
      <c r="N84" s="6" t="s">
        <v>27</v>
      </c>
      <c r="O84" s="6" t="s">
        <v>27</v>
      </c>
      <c r="P84" s="6" t="s">
        <v>27</v>
      </c>
      <c r="Q84" s="6"/>
      <c r="R84" s="33">
        <f t="shared" si="1"/>
        <v>2021</v>
      </c>
      <c r="S84" s="36"/>
    </row>
    <row r="85" spans="1:19" ht="14.5" x14ac:dyDescent="0.35">
      <c r="A85" s="7" t="s">
        <v>1649</v>
      </c>
      <c r="B85" s="7" t="s">
        <v>909</v>
      </c>
      <c r="C85" s="7" t="s">
        <v>48</v>
      </c>
      <c r="D85" s="7" t="s">
        <v>1650</v>
      </c>
      <c r="E85" s="7" t="s">
        <v>1651</v>
      </c>
      <c r="F85" s="8" t="s">
        <v>25</v>
      </c>
      <c r="G85" s="60">
        <v>5950</v>
      </c>
      <c r="H85" s="6" t="s">
        <v>1475</v>
      </c>
      <c r="I85" s="6" t="s">
        <v>27</v>
      </c>
      <c r="J85" s="6" t="s">
        <v>27</v>
      </c>
      <c r="K85" s="6" t="s">
        <v>27</v>
      </c>
      <c r="L85" s="6" t="s">
        <v>27</v>
      </c>
      <c r="M85" s="6" t="s">
        <v>27</v>
      </c>
      <c r="N85" s="6" t="s">
        <v>27</v>
      </c>
      <c r="O85" s="6" t="s">
        <v>27</v>
      </c>
      <c r="P85" s="6" t="s">
        <v>27</v>
      </c>
      <c r="Q85" s="6"/>
      <c r="R85" s="33">
        <f t="shared" si="1"/>
        <v>2021</v>
      </c>
      <c r="S85" s="33"/>
    </row>
    <row r="86" spans="1:19" ht="14.5" x14ac:dyDescent="0.35">
      <c r="A86" s="7" t="s">
        <v>1652</v>
      </c>
      <c r="B86" s="7" t="s">
        <v>1653</v>
      </c>
      <c r="C86" s="7" t="s">
        <v>48</v>
      </c>
      <c r="D86" s="7" t="s">
        <v>1613</v>
      </c>
      <c r="E86" s="7" t="s">
        <v>1654</v>
      </c>
      <c r="F86" s="8" t="s">
        <v>25</v>
      </c>
      <c r="G86" s="60">
        <v>10700</v>
      </c>
      <c r="H86" s="6" t="s">
        <v>1475</v>
      </c>
      <c r="I86" s="6" t="s">
        <v>27</v>
      </c>
      <c r="J86" s="6" t="s">
        <v>27</v>
      </c>
      <c r="K86" s="6" t="s">
        <v>27</v>
      </c>
      <c r="L86" s="6" t="s">
        <v>27</v>
      </c>
      <c r="M86" s="6" t="s">
        <v>27</v>
      </c>
      <c r="N86" s="6" t="s">
        <v>27</v>
      </c>
      <c r="O86" s="6" t="s">
        <v>27</v>
      </c>
      <c r="P86" s="6" t="s">
        <v>27</v>
      </c>
      <c r="Q86" s="6"/>
      <c r="R86" s="33">
        <f t="shared" si="1"/>
        <v>2021</v>
      </c>
      <c r="S86" s="33"/>
    </row>
    <row r="87" spans="1:19" ht="14.5" x14ac:dyDescent="0.35">
      <c r="A87" s="7" t="s">
        <v>1649</v>
      </c>
      <c r="B87" s="7" t="s">
        <v>909</v>
      </c>
      <c r="C87" s="7" t="s">
        <v>48</v>
      </c>
      <c r="D87" s="7" t="s">
        <v>1655</v>
      </c>
      <c r="E87" s="7" t="s">
        <v>1575</v>
      </c>
      <c r="F87" s="8" t="s">
        <v>53</v>
      </c>
      <c r="G87" s="60">
        <v>2900</v>
      </c>
      <c r="H87" s="6" t="s">
        <v>1475</v>
      </c>
      <c r="I87" s="6" t="s">
        <v>27</v>
      </c>
      <c r="J87" s="6" t="s">
        <v>27</v>
      </c>
      <c r="K87" s="6" t="s">
        <v>27</v>
      </c>
      <c r="L87" s="6" t="s">
        <v>27</v>
      </c>
      <c r="M87" s="6" t="s">
        <v>27</v>
      </c>
      <c r="N87" s="6" t="s">
        <v>27</v>
      </c>
      <c r="O87" s="6" t="s">
        <v>27</v>
      </c>
      <c r="P87" s="6" t="s">
        <v>27</v>
      </c>
      <c r="Q87" s="6"/>
      <c r="R87" s="33">
        <f t="shared" ref="R87:R130" si="2">IFERROR(2000+VALUE(LEFT(A87,2)),"")</f>
        <v>2021</v>
      </c>
      <c r="S87" s="33"/>
    </row>
    <row r="88" spans="1:19" ht="14.5" x14ac:dyDescent="0.35">
      <c r="A88" s="7" t="s">
        <v>1649</v>
      </c>
      <c r="B88" s="7" t="s">
        <v>909</v>
      </c>
      <c r="C88" s="7" t="s">
        <v>48</v>
      </c>
      <c r="D88" s="7" t="s">
        <v>1650</v>
      </c>
      <c r="E88" s="7" t="s">
        <v>1651</v>
      </c>
      <c r="F88" s="8" t="s">
        <v>25</v>
      </c>
      <c r="G88" s="60">
        <v>1000</v>
      </c>
      <c r="H88" s="6" t="s">
        <v>1475</v>
      </c>
      <c r="I88" s="6" t="s">
        <v>27</v>
      </c>
      <c r="J88" s="6" t="s">
        <v>27</v>
      </c>
      <c r="K88" s="6" t="s">
        <v>27</v>
      </c>
      <c r="L88" s="6" t="s">
        <v>27</v>
      </c>
      <c r="M88" s="6" t="s">
        <v>27</v>
      </c>
      <c r="N88" s="6" t="s">
        <v>27</v>
      </c>
      <c r="O88" s="6" t="s">
        <v>27</v>
      </c>
      <c r="P88" s="6" t="s">
        <v>27</v>
      </c>
      <c r="Q88" s="6"/>
      <c r="R88" s="33">
        <f t="shared" si="2"/>
        <v>2021</v>
      </c>
      <c r="S88" s="33"/>
    </row>
    <row r="89" spans="1:19" ht="14.5" x14ac:dyDescent="0.35">
      <c r="A89" s="7" t="s">
        <v>967</v>
      </c>
      <c r="B89" s="7" t="s">
        <v>968</v>
      </c>
      <c r="C89" s="7" t="s">
        <v>37</v>
      </c>
      <c r="D89" s="7" t="s">
        <v>1545</v>
      </c>
      <c r="E89" s="7" t="s">
        <v>1656</v>
      </c>
      <c r="F89" s="8" t="s">
        <v>25</v>
      </c>
      <c r="G89" s="60">
        <v>3600</v>
      </c>
      <c r="H89" s="6" t="s">
        <v>1475</v>
      </c>
      <c r="I89" s="6" t="s">
        <v>27</v>
      </c>
      <c r="J89" s="6" t="s">
        <v>27</v>
      </c>
      <c r="K89" s="6" t="s">
        <v>27</v>
      </c>
      <c r="L89" s="6" t="s">
        <v>27</v>
      </c>
      <c r="M89" s="6" t="s">
        <v>27</v>
      </c>
      <c r="N89" s="6" t="s">
        <v>27</v>
      </c>
      <c r="O89" s="6" t="s">
        <v>27</v>
      </c>
      <c r="P89" s="6" t="s">
        <v>27</v>
      </c>
      <c r="Q89" s="6"/>
      <c r="R89" s="33">
        <f t="shared" si="2"/>
        <v>2021</v>
      </c>
      <c r="S89" s="33"/>
    </row>
    <row r="90" spans="1:19" ht="14.5" x14ac:dyDescent="0.35">
      <c r="A90" s="7" t="s">
        <v>1649</v>
      </c>
      <c r="B90" s="7" t="s">
        <v>909</v>
      </c>
      <c r="C90" s="7" t="s">
        <v>48</v>
      </c>
      <c r="D90" s="7" t="s">
        <v>1657</v>
      </c>
      <c r="E90" s="7" t="s">
        <v>1575</v>
      </c>
      <c r="F90" s="8" t="s">
        <v>25</v>
      </c>
      <c r="G90" s="60">
        <v>50260</v>
      </c>
      <c r="H90" s="6" t="s">
        <v>1475</v>
      </c>
      <c r="I90" s="6" t="s">
        <v>27</v>
      </c>
      <c r="J90" s="6" t="s">
        <v>27</v>
      </c>
      <c r="K90" s="6" t="s">
        <v>27</v>
      </c>
      <c r="L90" s="6" t="s">
        <v>27</v>
      </c>
      <c r="M90" s="6" t="s">
        <v>27</v>
      </c>
      <c r="N90" s="6" t="s">
        <v>27</v>
      </c>
      <c r="O90" s="6" t="s">
        <v>27</v>
      </c>
      <c r="P90" s="6" t="s">
        <v>27</v>
      </c>
      <c r="Q90" s="6"/>
      <c r="R90" s="33">
        <f t="shared" si="2"/>
        <v>2021</v>
      </c>
      <c r="S90" s="33"/>
    </row>
    <row r="91" spans="1:19" ht="14.5" x14ac:dyDescent="0.35">
      <c r="A91" s="7" t="s">
        <v>1652</v>
      </c>
      <c r="B91" s="7" t="s">
        <v>1653</v>
      </c>
      <c r="C91" s="7" t="s">
        <v>48</v>
      </c>
      <c r="D91" s="7" t="s">
        <v>1640</v>
      </c>
      <c r="E91" s="7" t="s">
        <v>1575</v>
      </c>
      <c r="F91" s="8" t="s">
        <v>53</v>
      </c>
      <c r="G91" s="60">
        <v>7560</v>
      </c>
      <c r="H91" s="6" t="s">
        <v>1475</v>
      </c>
      <c r="I91" s="6" t="s">
        <v>27</v>
      </c>
      <c r="J91" s="6" t="s">
        <v>27</v>
      </c>
      <c r="K91" s="6" t="s">
        <v>27</v>
      </c>
      <c r="L91" s="6" t="s">
        <v>27</v>
      </c>
      <c r="M91" s="6" t="s">
        <v>27</v>
      </c>
      <c r="N91" s="6" t="s">
        <v>27</v>
      </c>
      <c r="O91" s="6" t="s">
        <v>27</v>
      </c>
      <c r="P91" s="6" t="s">
        <v>27</v>
      </c>
      <c r="Q91" s="6"/>
      <c r="R91" s="33">
        <f t="shared" si="2"/>
        <v>2021</v>
      </c>
      <c r="S91" s="33"/>
    </row>
    <row r="92" spans="1:19" ht="14.5" x14ac:dyDescent="0.35">
      <c r="A92" s="7" t="s">
        <v>1658</v>
      </c>
      <c r="B92" s="7" t="s">
        <v>1659</v>
      </c>
      <c r="C92" s="7" t="s">
        <v>37</v>
      </c>
      <c r="D92" s="7" t="s">
        <v>1517</v>
      </c>
      <c r="E92" s="7" t="s">
        <v>1660</v>
      </c>
      <c r="F92" s="8" t="s">
        <v>247</v>
      </c>
      <c r="G92" s="60">
        <v>18000</v>
      </c>
      <c r="H92" s="6" t="s">
        <v>1475</v>
      </c>
      <c r="I92" s="6" t="s">
        <v>27</v>
      </c>
      <c r="J92" s="6" t="s">
        <v>27</v>
      </c>
      <c r="K92" s="6" t="s">
        <v>27</v>
      </c>
      <c r="L92" s="6" t="s">
        <v>27</v>
      </c>
      <c r="M92" s="6" t="s">
        <v>27</v>
      </c>
      <c r="N92" s="6" t="s">
        <v>27</v>
      </c>
      <c r="O92" s="6" t="s">
        <v>27</v>
      </c>
      <c r="P92" s="6" t="s">
        <v>27</v>
      </c>
      <c r="Q92" s="6"/>
      <c r="R92" s="33">
        <f t="shared" si="2"/>
        <v>2021</v>
      </c>
      <c r="S92" s="33"/>
    </row>
    <row r="93" spans="1:19" ht="14.5" x14ac:dyDescent="0.35">
      <c r="A93" s="7" t="s">
        <v>1661</v>
      </c>
      <c r="B93" s="7" t="s">
        <v>935</v>
      </c>
      <c r="C93" s="7" t="s">
        <v>48</v>
      </c>
      <c r="D93" s="7" t="s">
        <v>1625</v>
      </c>
      <c r="E93" s="7" t="s">
        <v>1575</v>
      </c>
      <c r="F93" s="8" t="s">
        <v>53</v>
      </c>
      <c r="G93" s="60">
        <v>1900</v>
      </c>
      <c r="H93" s="6" t="s">
        <v>1475</v>
      </c>
      <c r="I93" s="6" t="s">
        <v>27</v>
      </c>
      <c r="J93" s="6" t="s">
        <v>27</v>
      </c>
      <c r="K93" s="6" t="s">
        <v>27</v>
      </c>
      <c r="L93" s="6" t="s">
        <v>27</v>
      </c>
      <c r="M93" s="6" t="s">
        <v>27</v>
      </c>
      <c r="N93" s="6" t="s">
        <v>27</v>
      </c>
      <c r="O93" s="6" t="s">
        <v>27</v>
      </c>
      <c r="P93" s="6" t="s">
        <v>27</v>
      </c>
      <c r="Q93" s="6"/>
      <c r="R93" s="33">
        <f t="shared" si="2"/>
        <v>2021</v>
      </c>
      <c r="S93" s="33"/>
    </row>
    <row r="94" spans="1:19" ht="14.5" x14ac:dyDescent="0.35">
      <c r="A94" s="7" t="s">
        <v>1661</v>
      </c>
      <c r="B94" s="7" t="s">
        <v>935</v>
      </c>
      <c r="C94" s="7" t="s">
        <v>48</v>
      </c>
      <c r="D94" s="7" t="s">
        <v>1625</v>
      </c>
      <c r="E94" s="7" t="s">
        <v>1575</v>
      </c>
      <c r="F94" s="8" t="s">
        <v>25</v>
      </c>
      <c r="G94" s="60">
        <v>7770</v>
      </c>
      <c r="H94" s="6" t="s">
        <v>1475</v>
      </c>
      <c r="I94" s="6" t="s">
        <v>27</v>
      </c>
      <c r="J94" s="6" t="s">
        <v>27</v>
      </c>
      <c r="K94" s="6" t="s">
        <v>27</v>
      </c>
      <c r="L94" s="6" t="s">
        <v>27</v>
      </c>
      <c r="M94" s="6" t="s">
        <v>27</v>
      </c>
      <c r="N94" s="6" t="s">
        <v>27</v>
      </c>
      <c r="O94" s="6" t="s">
        <v>27</v>
      </c>
      <c r="P94" s="6" t="s">
        <v>27</v>
      </c>
      <c r="Q94" s="6"/>
      <c r="R94" s="33">
        <f t="shared" si="2"/>
        <v>2021</v>
      </c>
      <c r="S94" s="33"/>
    </row>
    <row r="95" spans="1:19" ht="14.5" x14ac:dyDescent="0.35">
      <c r="A95" s="7" t="s">
        <v>1661</v>
      </c>
      <c r="B95" s="7" t="s">
        <v>935</v>
      </c>
      <c r="C95" s="7" t="s">
        <v>48</v>
      </c>
      <c r="D95" s="7" t="s">
        <v>1662</v>
      </c>
      <c r="E95" s="7" t="s">
        <v>1575</v>
      </c>
      <c r="F95" s="8" t="s">
        <v>53</v>
      </c>
      <c r="G95" s="60">
        <v>7800</v>
      </c>
      <c r="H95" s="6" t="s">
        <v>1475</v>
      </c>
      <c r="I95" s="6" t="s">
        <v>27</v>
      </c>
      <c r="J95" s="6" t="s">
        <v>27</v>
      </c>
      <c r="K95" s="6" t="s">
        <v>27</v>
      </c>
      <c r="L95" s="6" t="s">
        <v>27</v>
      </c>
      <c r="M95" s="6" t="s">
        <v>27</v>
      </c>
      <c r="N95" s="6" t="s">
        <v>27</v>
      </c>
      <c r="O95" s="6" t="s">
        <v>27</v>
      </c>
      <c r="P95" s="6" t="s">
        <v>27</v>
      </c>
      <c r="Q95" s="6"/>
      <c r="R95" s="33">
        <f t="shared" si="2"/>
        <v>2021</v>
      </c>
      <c r="S95" s="33"/>
    </row>
    <row r="96" spans="1:19" ht="14.5" x14ac:dyDescent="0.35">
      <c r="A96" s="7" t="s">
        <v>1663</v>
      </c>
      <c r="B96" s="7" t="s">
        <v>421</v>
      </c>
      <c r="C96" s="7" t="s">
        <v>23</v>
      </c>
      <c r="D96" s="7" t="s">
        <v>1664</v>
      </c>
      <c r="E96" s="7" t="s">
        <v>1607</v>
      </c>
      <c r="F96" s="8" t="s">
        <v>25</v>
      </c>
      <c r="G96" s="60">
        <v>2500</v>
      </c>
      <c r="H96" s="6" t="s">
        <v>1475</v>
      </c>
      <c r="I96" s="6" t="s">
        <v>27</v>
      </c>
      <c r="J96" s="6" t="s">
        <v>27</v>
      </c>
      <c r="K96" s="6" t="s">
        <v>27</v>
      </c>
      <c r="L96" s="6" t="s">
        <v>27</v>
      </c>
      <c r="M96" s="6" t="s">
        <v>27</v>
      </c>
      <c r="N96" s="6" t="s">
        <v>27</v>
      </c>
      <c r="O96" s="6" t="s">
        <v>27</v>
      </c>
      <c r="P96" s="6" t="s">
        <v>27</v>
      </c>
      <c r="Q96" s="6"/>
      <c r="R96" s="33">
        <f t="shared" si="2"/>
        <v>2021</v>
      </c>
      <c r="S96" s="36"/>
    </row>
    <row r="97" spans="1:19" ht="14.5" x14ac:dyDescent="0.35">
      <c r="A97" s="7" t="s">
        <v>1661</v>
      </c>
      <c r="B97" s="7" t="s">
        <v>935</v>
      </c>
      <c r="C97" s="7" t="s">
        <v>48</v>
      </c>
      <c r="D97" s="7" t="s">
        <v>1662</v>
      </c>
      <c r="E97" s="7" t="s">
        <v>1575</v>
      </c>
      <c r="F97" s="8" t="s">
        <v>25</v>
      </c>
      <c r="G97" s="60">
        <v>10700</v>
      </c>
      <c r="H97" s="6" t="s">
        <v>1475</v>
      </c>
      <c r="I97" s="6" t="s">
        <v>27</v>
      </c>
      <c r="J97" s="6" t="s">
        <v>27</v>
      </c>
      <c r="K97" s="6" t="s">
        <v>27</v>
      </c>
      <c r="L97" s="6" t="s">
        <v>27</v>
      </c>
      <c r="M97" s="6" t="s">
        <v>27</v>
      </c>
      <c r="N97" s="6" t="s">
        <v>27</v>
      </c>
      <c r="O97" s="6" t="s">
        <v>27</v>
      </c>
      <c r="P97" s="6" t="s">
        <v>27</v>
      </c>
      <c r="Q97" s="6"/>
      <c r="R97" s="33">
        <f t="shared" si="2"/>
        <v>2021</v>
      </c>
      <c r="S97" s="33"/>
    </row>
    <row r="98" spans="1:19" ht="14.5" x14ac:dyDescent="0.35">
      <c r="A98" s="7" t="s">
        <v>1661</v>
      </c>
      <c r="B98" s="7" t="s">
        <v>935</v>
      </c>
      <c r="C98" s="7" t="s">
        <v>48</v>
      </c>
      <c r="D98" s="7" t="s">
        <v>1665</v>
      </c>
      <c r="E98" s="7" t="s">
        <v>1666</v>
      </c>
      <c r="F98" s="8" t="s">
        <v>25</v>
      </c>
      <c r="G98" s="60">
        <v>2850</v>
      </c>
      <c r="H98" s="6" t="s">
        <v>1475</v>
      </c>
      <c r="I98" s="6" t="s">
        <v>27</v>
      </c>
      <c r="J98" s="6" t="s">
        <v>27</v>
      </c>
      <c r="K98" s="6" t="s">
        <v>27</v>
      </c>
      <c r="L98" s="6" t="s">
        <v>27</v>
      </c>
      <c r="M98" s="6" t="s">
        <v>27</v>
      </c>
      <c r="N98" s="6" t="s">
        <v>27</v>
      </c>
      <c r="O98" s="6" t="s">
        <v>27</v>
      </c>
      <c r="P98" s="6" t="s">
        <v>27</v>
      </c>
      <c r="Q98" s="6"/>
      <c r="R98" s="33">
        <f t="shared" si="2"/>
        <v>2021</v>
      </c>
      <c r="S98" s="33"/>
    </row>
    <row r="99" spans="1:19" ht="14.5" x14ac:dyDescent="0.35">
      <c r="A99" s="7" t="s">
        <v>1661</v>
      </c>
      <c r="B99" s="7" t="s">
        <v>935</v>
      </c>
      <c r="C99" s="7" t="s">
        <v>61</v>
      </c>
      <c r="D99" s="7" t="s">
        <v>1667</v>
      </c>
      <c r="E99" s="7" t="s">
        <v>1668</v>
      </c>
      <c r="F99" s="8" t="s">
        <v>25</v>
      </c>
      <c r="G99" s="60">
        <v>2800</v>
      </c>
      <c r="H99" s="6" t="s">
        <v>1475</v>
      </c>
      <c r="I99" s="6" t="s">
        <v>27</v>
      </c>
      <c r="J99" s="6" t="s">
        <v>27</v>
      </c>
      <c r="K99" s="6" t="s">
        <v>27</v>
      </c>
      <c r="L99" s="6" t="s">
        <v>27</v>
      </c>
      <c r="M99" s="6" t="s">
        <v>27</v>
      </c>
      <c r="N99" s="6" t="s">
        <v>27</v>
      </c>
      <c r="O99" s="6" t="s">
        <v>27</v>
      </c>
      <c r="P99" s="6" t="s">
        <v>27</v>
      </c>
      <c r="Q99" s="6"/>
      <c r="R99" s="33">
        <f t="shared" si="2"/>
        <v>2021</v>
      </c>
      <c r="S99" s="33"/>
    </row>
    <row r="100" spans="1:19" ht="14.5" x14ac:dyDescent="0.35">
      <c r="A100" s="7" t="s">
        <v>937</v>
      </c>
      <c r="B100" s="7" t="s">
        <v>938</v>
      </c>
      <c r="C100" s="7" t="s">
        <v>48</v>
      </c>
      <c r="D100" s="7" t="s">
        <v>1640</v>
      </c>
      <c r="E100" s="7" t="s">
        <v>1666</v>
      </c>
      <c r="F100" s="8" t="s">
        <v>53</v>
      </c>
      <c r="G100" s="60">
        <v>193068</v>
      </c>
      <c r="H100" s="6" t="s">
        <v>1475</v>
      </c>
      <c r="I100" s="6" t="s">
        <v>27</v>
      </c>
      <c r="J100" s="6" t="s">
        <v>27</v>
      </c>
      <c r="K100" s="6" t="s">
        <v>27</v>
      </c>
      <c r="L100" s="6" t="s">
        <v>27</v>
      </c>
      <c r="M100" s="6" t="s">
        <v>27</v>
      </c>
      <c r="N100" s="6" t="s">
        <v>27</v>
      </c>
      <c r="O100" s="6" t="s">
        <v>27</v>
      </c>
      <c r="P100" s="6" t="s">
        <v>27</v>
      </c>
      <c r="Q100" s="6"/>
      <c r="R100" s="33">
        <f t="shared" si="2"/>
        <v>2021</v>
      </c>
      <c r="S100" s="33"/>
    </row>
    <row r="101" spans="1:19" ht="14.5" x14ac:dyDescent="0.35">
      <c r="A101" s="7" t="s">
        <v>937</v>
      </c>
      <c r="B101" s="7" t="s">
        <v>938</v>
      </c>
      <c r="C101" s="7" t="s">
        <v>48</v>
      </c>
      <c r="D101" s="7" t="s">
        <v>1640</v>
      </c>
      <c r="E101" s="7" t="s">
        <v>1666</v>
      </c>
      <c r="F101" s="8" t="s">
        <v>247</v>
      </c>
      <c r="G101" s="60">
        <v>55000</v>
      </c>
      <c r="H101" s="6" t="s">
        <v>1475</v>
      </c>
      <c r="I101" s="6" t="s">
        <v>27</v>
      </c>
      <c r="J101" s="6" t="s">
        <v>27</v>
      </c>
      <c r="K101" s="6" t="s">
        <v>27</v>
      </c>
      <c r="L101" s="6" t="s">
        <v>27</v>
      </c>
      <c r="M101" s="6" t="s">
        <v>27</v>
      </c>
      <c r="N101" s="6" t="s">
        <v>27</v>
      </c>
      <c r="O101" s="6" t="s">
        <v>27</v>
      </c>
      <c r="P101" s="6" t="s">
        <v>27</v>
      </c>
      <c r="Q101" s="6"/>
      <c r="R101" s="33">
        <f t="shared" si="2"/>
        <v>2021</v>
      </c>
      <c r="S101" s="33"/>
    </row>
    <row r="102" spans="1:19" ht="14.5" x14ac:dyDescent="0.35">
      <c r="A102" s="7" t="s">
        <v>937</v>
      </c>
      <c r="B102" s="7" t="s">
        <v>938</v>
      </c>
      <c r="C102" s="7" t="s">
        <v>48</v>
      </c>
      <c r="D102" s="7" t="s">
        <v>1640</v>
      </c>
      <c r="E102" s="7" t="s">
        <v>1575</v>
      </c>
      <c r="F102" s="8" t="s">
        <v>247</v>
      </c>
      <c r="G102" s="60">
        <v>40000</v>
      </c>
      <c r="H102" s="6" t="s">
        <v>1475</v>
      </c>
      <c r="I102" s="6" t="s">
        <v>27</v>
      </c>
      <c r="J102" s="6" t="s">
        <v>27</v>
      </c>
      <c r="K102" s="6" t="s">
        <v>27</v>
      </c>
      <c r="L102" s="6" t="s">
        <v>27</v>
      </c>
      <c r="M102" s="6" t="s">
        <v>27</v>
      </c>
      <c r="N102" s="6" t="s">
        <v>27</v>
      </c>
      <c r="O102" s="6" t="s">
        <v>27</v>
      </c>
      <c r="P102" s="6" t="s">
        <v>27</v>
      </c>
      <c r="Q102" s="6"/>
      <c r="R102" s="33">
        <f t="shared" si="2"/>
        <v>2021</v>
      </c>
      <c r="S102" s="33"/>
    </row>
    <row r="103" spans="1:19" ht="14.5" x14ac:dyDescent="0.35">
      <c r="A103" s="7" t="s">
        <v>937</v>
      </c>
      <c r="B103" s="7" t="s">
        <v>938</v>
      </c>
      <c r="C103" s="7" t="s">
        <v>61</v>
      </c>
      <c r="D103" s="7" t="s">
        <v>1667</v>
      </c>
      <c r="E103" s="7" t="s">
        <v>1669</v>
      </c>
      <c r="F103" s="8" t="s">
        <v>25</v>
      </c>
      <c r="G103" s="60">
        <v>39000</v>
      </c>
      <c r="H103" s="6" t="s">
        <v>1475</v>
      </c>
      <c r="I103" s="6" t="s">
        <v>27</v>
      </c>
      <c r="J103" s="6" t="s">
        <v>27</v>
      </c>
      <c r="K103" s="6" t="s">
        <v>27</v>
      </c>
      <c r="L103" s="6" t="s">
        <v>27</v>
      </c>
      <c r="M103" s="6" t="s">
        <v>27</v>
      </c>
      <c r="N103" s="6" t="s">
        <v>27</v>
      </c>
      <c r="O103" s="6" t="s">
        <v>27</v>
      </c>
      <c r="P103" s="6" t="s">
        <v>27</v>
      </c>
      <c r="Q103" s="6"/>
      <c r="R103" s="33">
        <f t="shared" si="2"/>
        <v>2021</v>
      </c>
      <c r="S103" s="33"/>
    </row>
    <row r="104" spans="1:19" ht="14.5" x14ac:dyDescent="0.35">
      <c r="A104" s="7" t="s">
        <v>1670</v>
      </c>
      <c r="B104" s="7" t="s">
        <v>1671</v>
      </c>
      <c r="C104" s="7" t="s">
        <v>23</v>
      </c>
      <c r="D104" s="7" t="s">
        <v>1672</v>
      </c>
      <c r="E104" s="7" t="s">
        <v>1673</v>
      </c>
      <c r="F104" s="8" t="s">
        <v>53</v>
      </c>
      <c r="G104" s="60">
        <v>16000</v>
      </c>
      <c r="H104" s="6" t="s">
        <v>1475</v>
      </c>
      <c r="I104" s="6" t="s">
        <v>27</v>
      </c>
      <c r="J104" s="6" t="s">
        <v>27</v>
      </c>
      <c r="K104" s="6" t="s">
        <v>27</v>
      </c>
      <c r="L104" s="6" t="s">
        <v>27</v>
      </c>
      <c r="M104" s="6" t="s">
        <v>27</v>
      </c>
      <c r="N104" s="6" t="s">
        <v>27</v>
      </c>
      <c r="O104" s="6" t="s">
        <v>27</v>
      </c>
      <c r="P104" s="6" t="s">
        <v>27</v>
      </c>
      <c r="Q104" s="6"/>
      <c r="R104" s="33">
        <f t="shared" si="2"/>
        <v>2021</v>
      </c>
      <c r="S104" s="36"/>
    </row>
    <row r="105" spans="1:19" ht="14.5" x14ac:dyDescent="0.35">
      <c r="A105" s="7" t="s">
        <v>1670</v>
      </c>
      <c r="B105" s="7" t="s">
        <v>1671</v>
      </c>
      <c r="C105" s="7" t="s">
        <v>23</v>
      </c>
      <c r="D105" s="7" t="s">
        <v>1613</v>
      </c>
      <c r="E105" s="7" t="s">
        <v>1614</v>
      </c>
      <c r="F105" s="8" t="s">
        <v>247</v>
      </c>
      <c r="G105" s="60">
        <v>55000</v>
      </c>
      <c r="H105" s="6" t="s">
        <v>1475</v>
      </c>
      <c r="I105" s="6" t="s">
        <v>27</v>
      </c>
      <c r="J105" s="6" t="s">
        <v>27</v>
      </c>
      <c r="K105" s="6" t="s">
        <v>27</v>
      </c>
      <c r="L105" s="6" t="s">
        <v>27</v>
      </c>
      <c r="M105" s="6" t="s">
        <v>27</v>
      </c>
      <c r="N105" s="6" t="s">
        <v>27</v>
      </c>
      <c r="O105" s="6" t="s">
        <v>27</v>
      </c>
      <c r="P105" s="6" t="s">
        <v>27</v>
      </c>
      <c r="Q105" s="6"/>
      <c r="R105" s="33">
        <f t="shared" si="2"/>
        <v>2021</v>
      </c>
      <c r="S105" s="36"/>
    </row>
    <row r="106" spans="1:19" ht="14.5" x14ac:dyDescent="0.35">
      <c r="A106" s="7" t="s">
        <v>1674</v>
      </c>
      <c r="B106" s="7" t="s">
        <v>1675</v>
      </c>
      <c r="C106" s="7" t="s">
        <v>37</v>
      </c>
      <c r="D106" s="7" t="s">
        <v>1664</v>
      </c>
      <c r="E106" s="7" t="s">
        <v>1601</v>
      </c>
      <c r="F106" s="8" t="s">
        <v>25</v>
      </c>
      <c r="G106" s="60">
        <v>1500</v>
      </c>
      <c r="H106" s="6" t="s">
        <v>1475</v>
      </c>
      <c r="I106" s="6" t="s">
        <v>27</v>
      </c>
      <c r="J106" s="6" t="s">
        <v>27</v>
      </c>
      <c r="K106" s="6" t="s">
        <v>27</v>
      </c>
      <c r="L106" s="6" t="s">
        <v>27</v>
      </c>
      <c r="M106" s="6" t="s">
        <v>27</v>
      </c>
      <c r="N106" s="6" t="s">
        <v>27</v>
      </c>
      <c r="O106" s="6" t="s">
        <v>27</v>
      </c>
      <c r="P106" s="6" t="s">
        <v>27</v>
      </c>
      <c r="Q106" s="6"/>
      <c r="R106" s="33">
        <f t="shared" si="2"/>
        <v>2021</v>
      </c>
      <c r="S106" s="33"/>
    </row>
    <row r="107" spans="1:19" ht="14.5" x14ac:dyDescent="0.35">
      <c r="A107" s="7" t="s">
        <v>967</v>
      </c>
      <c r="B107" s="7" t="s">
        <v>968</v>
      </c>
      <c r="C107" s="7" t="s">
        <v>37</v>
      </c>
      <c r="D107" s="7" t="s">
        <v>1672</v>
      </c>
      <c r="E107" s="7" t="s">
        <v>1607</v>
      </c>
      <c r="F107" s="8" t="s">
        <v>53</v>
      </c>
      <c r="G107" s="60">
        <v>2500</v>
      </c>
      <c r="H107" s="6" t="s">
        <v>1475</v>
      </c>
      <c r="I107" s="6" t="s">
        <v>27</v>
      </c>
      <c r="J107" s="6" t="s">
        <v>27</v>
      </c>
      <c r="K107" s="6" t="s">
        <v>27</v>
      </c>
      <c r="L107" s="6" t="s">
        <v>27</v>
      </c>
      <c r="M107" s="6" t="s">
        <v>27</v>
      </c>
      <c r="N107" s="6" t="s">
        <v>27</v>
      </c>
      <c r="O107" s="6" t="s">
        <v>27</v>
      </c>
      <c r="P107" s="6" t="s">
        <v>27</v>
      </c>
      <c r="Q107" s="6"/>
      <c r="R107" s="33">
        <f t="shared" si="2"/>
        <v>2021</v>
      </c>
      <c r="S107" s="33"/>
    </row>
    <row r="108" spans="1:19" ht="14.5" x14ac:dyDescent="0.35">
      <c r="A108" s="7" t="s">
        <v>1663</v>
      </c>
      <c r="B108" s="7" t="s">
        <v>421</v>
      </c>
      <c r="C108" s="7" t="s">
        <v>23</v>
      </c>
      <c r="D108" s="7" t="s">
        <v>1676</v>
      </c>
      <c r="E108" s="7" t="s">
        <v>662</v>
      </c>
      <c r="F108" s="8" t="s">
        <v>25</v>
      </c>
      <c r="G108" s="60">
        <v>3000</v>
      </c>
      <c r="H108" s="6" t="s">
        <v>749</v>
      </c>
      <c r="I108" s="175"/>
      <c r="J108" s="175"/>
      <c r="K108" s="175"/>
      <c r="L108" s="175"/>
      <c r="M108" s="175"/>
      <c r="N108" s="175"/>
      <c r="O108" s="175"/>
      <c r="P108" s="175"/>
      <c r="Q108" s="6"/>
      <c r="R108" s="33">
        <f t="shared" si="2"/>
        <v>2021</v>
      </c>
      <c r="S108" s="36"/>
    </row>
    <row r="109" spans="1:19" ht="14.5" x14ac:dyDescent="0.35">
      <c r="A109" s="7" t="s">
        <v>1663</v>
      </c>
      <c r="B109" s="7" t="s">
        <v>421</v>
      </c>
      <c r="C109" s="7" t="s">
        <v>23</v>
      </c>
      <c r="D109" s="7" t="s">
        <v>1677</v>
      </c>
      <c r="E109" s="7" t="s">
        <v>662</v>
      </c>
      <c r="F109" s="8" t="s">
        <v>25</v>
      </c>
      <c r="G109" s="60">
        <v>1800</v>
      </c>
      <c r="H109" s="6" t="s">
        <v>1475</v>
      </c>
      <c r="I109" s="6" t="s">
        <v>27</v>
      </c>
      <c r="J109" s="6" t="s">
        <v>27</v>
      </c>
      <c r="K109" s="6" t="s">
        <v>27</v>
      </c>
      <c r="L109" s="6" t="s">
        <v>27</v>
      </c>
      <c r="M109" s="6" t="s">
        <v>27</v>
      </c>
      <c r="N109" s="6" t="s">
        <v>27</v>
      </c>
      <c r="O109" s="6" t="s">
        <v>27</v>
      </c>
      <c r="P109" s="6" t="s">
        <v>27</v>
      </c>
      <c r="Q109" s="6"/>
      <c r="R109" s="33">
        <f t="shared" si="2"/>
        <v>2021</v>
      </c>
      <c r="S109" s="36"/>
    </row>
    <row r="110" spans="1:19" ht="14.5" x14ac:dyDescent="0.35">
      <c r="A110" s="7" t="s">
        <v>1663</v>
      </c>
      <c r="B110" s="7" t="s">
        <v>421</v>
      </c>
      <c r="C110" s="7" t="s">
        <v>23</v>
      </c>
      <c r="D110" s="7" t="s">
        <v>1678</v>
      </c>
      <c r="E110" s="7" t="s">
        <v>1679</v>
      </c>
      <c r="F110" s="8" t="s">
        <v>247</v>
      </c>
      <c r="G110" s="60">
        <v>4002</v>
      </c>
      <c r="H110" s="6" t="s">
        <v>1680</v>
      </c>
      <c r="I110" s="6" t="s">
        <v>27</v>
      </c>
      <c r="J110" s="6" t="s">
        <v>27</v>
      </c>
      <c r="K110" s="6" t="s">
        <v>27</v>
      </c>
      <c r="L110" s="6" t="s">
        <v>27</v>
      </c>
      <c r="M110" s="6" t="s">
        <v>27</v>
      </c>
      <c r="N110" s="6" t="s">
        <v>27</v>
      </c>
      <c r="O110" s="6" t="s">
        <v>27</v>
      </c>
      <c r="P110" s="6" t="s">
        <v>27</v>
      </c>
      <c r="Q110" s="6"/>
      <c r="R110" s="33">
        <f t="shared" si="2"/>
        <v>2021</v>
      </c>
      <c r="S110" s="36"/>
    </row>
    <row r="111" spans="1:19" ht="14.5" x14ac:dyDescent="0.35">
      <c r="A111" s="7" t="s">
        <v>1663</v>
      </c>
      <c r="B111" s="7" t="s">
        <v>421</v>
      </c>
      <c r="C111" s="7" t="s">
        <v>23</v>
      </c>
      <c r="D111" s="7" t="s">
        <v>1676</v>
      </c>
      <c r="E111" s="7" t="s">
        <v>662</v>
      </c>
      <c r="F111" s="8" t="s">
        <v>25</v>
      </c>
      <c r="G111" s="60">
        <v>47050</v>
      </c>
      <c r="H111" s="6" t="s">
        <v>749</v>
      </c>
      <c r="I111" s="175"/>
      <c r="J111" s="175"/>
      <c r="K111" s="175"/>
      <c r="L111" s="175"/>
      <c r="M111" s="175"/>
      <c r="N111" s="175"/>
      <c r="O111" s="175"/>
      <c r="P111" s="175"/>
      <c r="Q111" s="6"/>
      <c r="R111" s="33">
        <f t="shared" si="2"/>
        <v>2021</v>
      </c>
      <c r="S111" s="36"/>
    </row>
    <row r="112" spans="1:19" ht="14.5" x14ac:dyDescent="0.35">
      <c r="A112" s="7" t="s">
        <v>1663</v>
      </c>
      <c r="B112" s="7" t="s">
        <v>421</v>
      </c>
      <c r="C112" s="7" t="s">
        <v>23</v>
      </c>
      <c r="D112" s="7" t="s">
        <v>1676</v>
      </c>
      <c r="E112" s="7" t="s">
        <v>662</v>
      </c>
      <c r="F112" s="8" t="s">
        <v>25</v>
      </c>
      <c r="G112" s="60">
        <v>1200</v>
      </c>
      <c r="H112" s="6" t="s">
        <v>749</v>
      </c>
      <c r="I112" s="175"/>
      <c r="J112" s="175"/>
      <c r="K112" s="175"/>
      <c r="L112" s="175"/>
      <c r="M112" s="175"/>
      <c r="N112" s="175"/>
      <c r="O112" s="175"/>
      <c r="P112" s="175"/>
      <c r="Q112" s="6"/>
      <c r="R112" s="33">
        <f t="shared" si="2"/>
        <v>2021</v>
      </c>
      <c r="S112" s="36"/>
    </row>
    <row r="113" spans="1:19" ht="14.5" x14ac:dyDescent="0.35">
      <c r="A113" s="7" t="s">
        <v>1663</v>
      </c>
      <c r="B113" s="7" t="s">
        <v>421</v>
      </c>
      <c r="C113" s="7" t="s">
        <v>23</v>
      </c>
      <c r="D113" s="7" t="s">
        <v>1677</v>
      </c>
      <c r="E113" s="7" t="s">
        <v>662</v>
      </c>
      <c r="F113" s="8" t="s">
        <v>44</v>
      </c>
      <c r="G113" s="60">
        <v>80000</v>
      </c>
      <c r="H113" s="6" t="s">
        <v>1475</v>
      </c>
      <c r="I113" s="6" t="s">
        <v>27</v>
      </c>
      <c r="J113" s="6" t="s">
        <v>27</v>
      </c>
      <c r="K113" s="6" t="s">
        <v>27</v>
      </c>
      <c r="L113" s="6" t="s">
        <v>27</v>
      </c>
      <c r="M113" s="6" t="s">
        <v>27</v>
      </c>
      <c r="N113" s="6" t="s">
        <v>27</v>
      </c>
      <c r="O113" s="6" t="s">
        <v>27</v>
      </c>
      <c r="P113" s="6" t="s">
        <v>27</v>
      </c>
      <c r="Q113" s="6"/>
      <c r="R113" s="33">
        <f t="shared" si="2"/>
        <v>2021</v>
      </c>
      <c r="S113" s="36"/>
    </row>
    <row r="114" spans="1:19" ht="14.5" x14ac:dyDescent="0.35">
      <c r="A114" s="7" t="s">
        <v>1663</v>
      </c>
      <c r="B114" s="7" t="s">
        <v>421</v>
      </c>
      <c r="C114" s="7" t="s">
        <v>23</v>
      </c>
      <c r="D114" s="7" t="s">
        <v>1678</v>
      </c>
      <c r="E114" s="7" t="s">
        <v>1679</v>
      </c>
      <c r="F114" s="8" t="s">
        <v>53</v>
      </c>
      <c r="G114" s="60" t="s">
        <v>1681</v>
      </c>
      <c r="H114" s="6" t="s">
        <v>1475</v>
      </c>
      <c r="I114" s="6" t="s">
        <v>27</v>
      </c>
      <c r="J114" s="6" t="s">
        <v>27</v>
      </c>
      <c r="K114" s="6" t="s">
        <v>27</v>
      </c>
      <c r="L114" s="6" t="s">
        <v>27</v>
      </c>
      <c r="M114" s="6" t="s">
        <v>27</v>
      </c>
      <c r="N114" s="6" t="s">
        <v>27</v>
      </c>
      <c r="O114" s="6" t="s">
        <v>27</v>
      </c>
      <c r="P114" s="6" t="s">
        <v>27</v>
      </c>
      <c r="Q114" s="6"/>
      <c r="R114" s="33">
        <f t="shared" si="2"/>
        <v>2021</v>
      </c>
      <c r="S114" s="36"/>
    </row>
    <row r="115" spans="1:19" ht="14.5" x14ac:dyDescent="0.35">
      <c r="A115" s="7" t="s">
        <v>632</v>
      </c>
      <c r="B115" s="7" t="s">
        <v>633</v>
      </c>
      <c r="C115" s="7" t="s">
        <v>48</v>
      </c>
      <c r="D115" s="7" t="s">
        <v>1625</v>
      </c>
      <c r="E115" s="7" t="s">
        <v>1575</v>
      </c>
      <c r="F115" s="8" t="s">
        <v>25</v>
      </c>
      <c r="G115" s="60">
        <v>330000</v>
      </c>
      <c r="H115" s="6" t="s">
        <v>1475</v>
      </c>
      <c r="I115" s="6" t="s">
        <v>27</v>
      </c>
      <c r="J115" s="6" t="s">
        <v>27</v>
      </c>
      <c r="K115" s="6" t="s">
        <v>27</v>
      </c>
      <c r="L115" s="6" t="s">
        <v>27</v>
      </c>
      <c r="M115" s="6" t="s">
        <v>27</v>
      </c>
      <c r="N115" s="6" t="s">
        <v>27</v>
      </c>
      <c r="O115" s="6" t="s">
        <v>27</v>
      </c>
      <c r="P115" s="6" t="s">
        <v>27</v>
      </c>
      <c r="Q115" s="6"/>
      <c r="R115" s="33">
        <f t="shared" si="2"/>
        <v>2022</v>
      </c>
      <c r="S115" s="33"/>
    </row>
    <row r="116" spans="1:19" ht="14.5" x14ac:dyDescent="0.35">
      <c r="A116" s="7" t="s">
        <v>1682</v>
      </c>
      <c r="B116" s="7" t="s">
        <v>643</v>
      </c>
      <c r="C116" s="7" t="s">
        <v>37</v>
      </c>
      <c r="D116" s="7" t="s">
        <v>1632</v>
      </c>
      <c r="E116" s="7" t="s">
        <v>1683</v>
      </c>
      <c r="F116" s="8" t="s">
        <v>77</v>
      </c>
      <c r="G116" s="60">
        <v>385000</v>
      </c>
      <c r="H116" s="6" t="s">
        <v>1475</v>
      </c>
      <c r="I116" s="6" t="s">
        <v>27</v>
      </c>
      <c r="J116" s="6" t="s">
        <v>27</v>
      </c>
      <c r="K116" s="6" t="s">
        <v>27</v>
      </c>
      <c r="L116" s="6" t="s">
        <v>27</v>
      </c>
      <c r="M116" s="6" t="s">
        <v>27</v>
      </c>
      <c r="N116" s="6" t="s">
        <v>27</v>
      </c>
      <c r="O116" s="6" t="s">
        <v>27</v>
      </c>
      <c r="P116" s="6" t="s">
        <v>27</v>
      </c>
      <c r="Q116" s="6"/>
      <c r="R116" s="33">
        <f t="shared" si="2"/>
        <v>2022</v>
      </c>
      <c r="S116" s="33"/>
    </row>
    <row r="117" spans="1:19" ht="14.5" x14ac:dyDescent="0.35">
      <c r="A117" s="7" t="s">
        <v>1682</v>
      </c>
      <c r="B117" s="7" t="s">
        <v>643</v>
      </c>
      <c r="C117" s="7" t="s">
        <v>37</v>
      </c>
      <c r="D117" s="7" t="s">
        <v>1672</v>
      </c>
      <c r="E117" s="7" t="s">
        <v>662</v>
      </c>
      <c r="F117" s="8" t="s">
        <v>44</v>
      </c>
      <c r="G117" s="60">
        <v>35738</v>
      </c>
      <c r="H117" s="6" t="s">
        <v>1475</v>
      </c>
      <c r="I117" s="6" t="s">
        <v>27</v>
      </c>
      <c r="J117" s="6" t="s">
        <v>27</v>
      </c>
      <c r="K117" s="6" t="s">
        <v>27</v>
      </c>
      <c r="L117" s="6" t="s">
        <v>27</v>
      </c>
      <c r="M117" s="6" t="s">
        <v>27</v>
      </c>
      <c r="N117" s="6" t="s">
        <v>27</v>
      </c>
      <c r="O117" s="6" t="s">
        <v>27</v>
      </c>
      <c r="P117" s="6" t="s">
        <v>27</v>
      </c>
      <c r="Q117" s="6"/>
      <c r="R117" s="33">
        <f t="shared" si="2"/>
        <v>2022</v>
      </c>
      <c r="S117" s="33"/>
    </row>
    <row r="118" spans="1:19" ht="14.5" x14ac:dyDescent="0.35">
      <c r="A118" s="7" t="s">
        <v>992</v>
      </c>
      <c r="B118" s="7" t="s">
        <v>640</v>
      </c>
      <c r="C118" s="7" t="s">
        <v>23</v>
      </c>
      <c r="D118" s="7" t="s">
        <v>1684</v>
      </c>
      <c r="E118" s="7" t="s">
        <v>1614</v>
      </c>
      <c r="F118" s="8" t="s">
        <v>25</v>
      </c>
      <c r="G118" s="60">
        <v>22000</v>
      </c>
      <c r="H118" s="6" t="s">
        <v>1475</v>
      </c>
      <c r="I118" s="6" t="s">
        <v>27</v>
      </c>
      <c r="J118" s="6" t="s">
        <v>27</v>
      </c>
      <c r="K118" s="6" t="s">
        <v>27</v>
      </c>
      <c r="L118" s="6" t="s">
        <v>27</v>
      </c>
      <c r="M118" s="6" t="s">
        <v>27</v>
      </c>
      <c r="N118" s="6" t="s">
        <v>27</v>
      </c>
      <c r="O118" s="6" t="s">
        <v>27</v>
      </c>
      <c r="P118" s="6" t="s">
        <v>27</v>
      </c>
      <c r="Q118" s="6"/>
      <c r="R118" s="33">
        <f t="shared" si="2"/>
        <v>2022</v>
      </c>
      <c r="S118" s="36"/>
    </row>
    <row r="119" spans="1:19" ht="14.5" x14ac:dyDescent="0.35">
      <c r="A119" s="7" t="s">
        <v>1685</v>
      </c>
      <c r="B119" s="7" t="s">
        <v>600</v>
      </c>
      <c r="C119" s="7" t="s">
        <v>82</v>
      </c>
      <c r="D119" s="7" t="s">
        <v>1686</v>
      </c>
      <c r="E119" s="7" t="s">
        <v>1687</v>
      </c>
      <c r="F119" s="8" t="s">
        <v>25</v>
      </c>
      <c r="G119" s="60">
        <v>125500</v>
      </c>
      <c r="H119" s="6" t="s">
        <v>1475</v>
      </c>
      <c r="I119" s="6" t="s">
        <v>27</v>
      </c>
      <c r="J119" s="6" t="s">
        <v>27</v>
      </c>
      <c r="K119" s="6" t="s">
        <v>27</v>
      </c>
      <c r="L119" s="6" t="s">
        <v>27</v>
      </c>
      <c r="M119" s="6" t="s">
        <v>27</v>
      </c>
      <c r="N119" s="6" t="s">
        <v>27</v>
      </c>
      <c r="O119" s="6" t="s">
        <v>27</v>
      </c>
      <c r="P119" s="6" t="s">
        <v>27</v>
      </c>
      <c r="Q119" s="6"/>
      <c r="R119" s="33">
        <f t="shared" si="2"/>
        <v>2022</v>
      </c>
      <c r="S119" s="33"/>
    </row>
    <row r="120" spans="1:19" ht="14.5" x14ac:dyDescent="0.35">
      <c r="A120" s="7" t="s">
        <v>1685</v>
      </c>
      <c r="B120" s="7" t="s">
        <v>600</v>
      </c>
      <c r="C120" s="7" t="s">
        <v>82</v>
      </c>
      <c r="D120" s="7" t="s">
        <v>1688</v>
      </c>
      <c r="E120" s="7" t="s">
        <v>1419</v>
      </c>
      <c r="F120" s="8" t="s">
        <v>25</v>
      </c>
      <c r="G120" s="60">
        <v>48000</v>
      </c>
      <c r="H120" s="6" t="s">
        <v>1475</v>
      </c>
      <c r="I120" s="6" t="s">
        <v>27</v>
      </c>
      <c r="J120" s="6" t="s">
        <v>27</v>
      </c>
      <c r="K120" s="6" t="s">
        <v>27</v>
      </c>
      <c r="L120" s="6" t="s">
        <v>27</v>
      </c>
      <c r="M120" s="6" t="s">
        <v>27</v>
      </c>
      <c r="N120" s="6" t="s">
        <v>27</v>
      </c>
      <c r="O120" s="6" t="s">
        <v>27</v>
      </c>
      <c r="P120" s="6" t="s">
        <v>27</v>
      </c>
      <c r="Q120" s="6"/>
      <c r="R120" s="33">
        <f t="shared" si="2"/>
        <v>2022</v>
      </c>
      <c r="S120" s="33"/>
    </row>
    <row r="121" spans="1:19" ht="14.5" x14ac:dyDescent="0.35">
      <c r="A121" s="7" t="s">
        <v>1685</v>
      </c>
      <c r="B121" s="7" t="s">
        <v>600</v>
      </c>
      <c r="C121" s="7" t="s">
        <v>82</v>
      </c>
      <c r="D121" s="7" t="s">
        <v>1689</v>
      </c>
      <c r="E121" s="7" t="s">
        <v>1011</v>
      </c>
      <c r="F121" s="8" t="s">
        <v>25</v>
      </c>
      <c r="G121" s="60">
        <v>2400</v>
      </c>
      <c r="H121" s="6" t="s">
        <v>1475</v>
      </c>
      <c r="I121" s="6" t="s">
        <v>27</v>
      </c>
      <c r="J121" s="6" t="s">
        <v>27</v>
      </c>
      <c r="K121" s="6" t="s">
        <v>27</v>
      </c>
      <c r="L121" s="6" t="s">
        <v>27</v>
      </c>
      <c r="M121" s="6" t="s">
        <v>27</v>
      </c>
      <c r="N121" s="6" t="s">
        <v>27</v>
      </c>
      <c r="O121" s="6" t="s">
        <v>27</v>
      </c>
      <c r="P121" s="6" t="s">
        <v>27</v>
      </c>
      <c r="Q121" s="6"/>
      <c r="R121" s="33">
        <f t="shared" si="2"/>
        <v>2022</v>
      </c>
      <c r="S121" s="33"/>
    </row>
    <row r="122" spans="1:19" ht="14.5" x14ac:dyDescent="0.35">
      <c r="A122" s="7" t="s">
        <v>1685</v>
      </c>
      <c r="B122" s="7" t="s">
        <v>600</v>
      </c>
      <c r="C122" s="7" t="s">
        <v>82</v>
      </c>
      <c r="D122" s="7" t="s">
        <v>1689</v>
      </c>
      <c r="E122" s="7" t="s">
        <v>1011</v>
      </c>
      <c r="F122" s="8" t="s">
        <v>247</v>
      </c>
      <c r="G122" s="60">
        <v>8102</v>
      </c>
      <c r="H122" s="6" t="s">
        <v>1475</v>
      </c>
      <c r="I122" s="6" t="s">
        <v>27</v>
      </c>
      <c r="J122" s="6" t="s">
        <v>27</v>
      </c>
      <c r="K122" s="6" t="s">
        <v>27</v>
      </c>
      <c r="L122" s="6" t="s">
        <v>27</v>
      </c>
      <c r="M122" s="6" t="s">
        <v>27</v>
      </c>
      <c r="N122" s="6" t="s">
        <v>27</v>
      </c>
      <c r="O122" s="6" t="s">
        <v>27</v>
      </c>
      <c r="P122" s="6" t="s">
        <v>27</v>
      </c>
      <c r="Q122" s="6"/>
      <c r="R122" s="33">
        <f t="shared" si="2"/>
        <v>2022</v>
      </c>
      <c r="S122" s="33"/>
    </row>
    <row r="123" spans="1:19" ht="14.5" x14ac:dyDescent="0.35">
      <c r="A123" s="7" t="s">
        <v>1690</v>
      </c>
      <c r="B123" s="7" t="s">
        <v>598</v>
      </c>
      <c r="C123" s="7" t="s">
        <v>48</v>
      </c>
      <c r="D123" s="7" t="s">
        <v>1691</v>
      </c>
      <c r="E123" s="7" t="s">
        <v>1692</v>
      </c>
      <c r="F123" s="8" t="s">
        <v>247</v>
      </c>
      <c r="G123" s="60">
        <v>48452</v>
      </c>
      <c r="H123" s="6" t="s">
        <v>1475</v>
      </c>
      <c r="I123" s="6" t="s">
        <v>27</v>
      </c>
      <c r="J123" s="6" t="s">
        <v>27</v>
      </c>
      <c r="K123" s="6" t="s">
        <v>27</v>
      </c>
      <c r="L123" s="6" t="s">
        <v>27</v>
      </c>
      <c r="M123" s="6" t="s">
        <v>27</v>
      </c>
      <c r="N123" s="6" t="s">
        <v>27</v>
      </c>
      <c r="O123" s="6" t="s">
        <v>27</v>
      </c>
      <c r="P123" s="6" t="s">
        <v>27</v>
      </c>
      <c r="Q123" s="6"/>
      <c r="R123" s="33">
        <f t="shared" si="2"/>
        <v>2022</v>
      </c>
      <c r="S123" s="33"/>
    </row>
    <row r="124" spans="1:19" ht="14.5" x14ac:dyDescent="0.35">
      <c r="A124" s="7" t="s">
        <v>1690</v>
      </c>
      <c r="B124" s="7" t="s">
        <v>598</v>
      </c>
      <c r="C124" s="7" t="s">
        <v>48</v>
      </c>
      <c r="D124" s="7" t="s">
        <v>1693</v>
      </c>
      <c r="E124" s="7" t="s">
        <v>1694</v>
      </c>
      <c r="F124" s="8" t="s">
        <v>25</v>
      </c>
      <c r="G124" s="60">
        <v>2000</v>
      </c>
      <c r="H124" s="6" t="s">
        <v>1475</v>
      </c>
      <c r="I124" s="6" t="s">
        <v>27</v>
      </c>
      <c r="J124" s="6" t="s">
        <v>27</v>
      </c>
      <c r="K124" s="6" t="s">
        <v>27</v>
      </c>
      <c r="L124" s="6" t="s">
        <v>27</v>
      </c>
      <c r="M124" s="6" t="s">
        <v>27</v>
      </c>
      <c r="N124" s="6" t="s">
        <v>27</v>
      </c>
      <c r="O124" s="6" t="s">
        <v>27</v>
      </c>
      <c r="P124" s="6" t="s">
        <v>27</v>
      </c>
      <c r="Q124" s="6"/>
      <c r="R124" s="33">
        <f t="shared" si="2"/>
        <v>2022</v>
      </c>
      <c r="S124" s="33"/>
    </row>
    <row r="125" spans="1:19" ht="14.5" x14ac:dyDescent="0.35">
      <c r="A125" s="7" t="s">
        <v>632</v>
      </c>
      <c r="B125" s="7" t="s">
        <v>633</v>
      </c>
      <c r="C125" s="7" t="s">
        <v>48</v>
      </c>
      <c r="D125" s="7" t="s">
        <v>1684</v>
      </c>
      <c r="E125" s="7" t="s">
        <v>1695</v>
      </c>
      <c r="F125" s="8" t="s">
        <v>25</v>
      </c>
      <c r="G125" s="60">
        <v>54000</v>
      </c>
      <c r="H125" s="6" t="s">
        <v>1475</v>
      </c>
      <c r="I125" s="6" t="s">
        <v>27</v>
      </c>
      <c r="J125" s="6" t="s">
        <v>27</v>
      </c>
      <c r="K125" s="6" t="s">
        <v>27</v>
      </c>
      <c r="L125" s="6" t="s">
        <v>27</v>
      </c>
      <c r="M125" s="6" t="s">
        <v>27</v>
      </c>
      <c r="N125" s="6" t="s">
        <v>27</v>
      </c>
      <c r="O125" s="6" t="s">
        <v>27</v>
      </c>
      <c r="P125" s="6" t="s">
        <v>27</v>
      </c>
      <c r="Q125" s="6"/>
      <c r="R125" s="33">
        <f t="shared" si="2"/>
        <v>2022</v>
      </c>
      <c r="S125" s="33"/>
    </row>
    <row r="126" spans="1:19" ht="14.5" x14ac:dyDescent="0.35">
      <c r="A126" s="7" t="s">
        <v>1690</v>
      </c>
      <c r="B126" s="7" t="s">
        <v>598</v>
      </c>
      <c r="C126" s="7" t="s">
        <v>48</v>
      </c>
      <c r="D126" s="7" t="s">
        <v>1691</v>
      </c>
      <c r="E126" s="7" t="s">
        <v>1692</v>
      </c>
      <c r="F126" s="8" t="s">
        <v>25</v>
      </c>
      <c r="G126" s="60">
        <v>10000</v>
      </c>
      <c r="H126" s="6" t="s">
        <v>1475</v>
      </c>
      <c r="I126" s="6" t="s">
        <v>27</v>
      </c>
      <c r="J126" s="6" t="s">
        <v>27</v>
      </c>
      <c r="K126" s="6" t="s">
        <v>27</v>
      </c>
      <c r="L126" s="6" t="s">
        <v>27</v>
      </c>
      <c r="M126" s="6" t="s">
        <v>27</v>
      </c>
      <c r="N126" s="6" t="s">
        <v>27</v>
      </c>
      <c r="O126" s="6" t="s">
        <v>27</v>
      </c>
      <c r="P126" s="6" t="s">
        <v>27</v>
      </c>
      <c r="Q126" s="6"/>
      <c r="R126" s="33">
        <f t="shared" si="2"/>
        <v>2022</v>
      </c>
      <c r="S126" s="33"/>
    </row>
    <row r="127" spans="1:19" ht="14.5" x14ac:dyDescent="0.35">
      <c r="A127" s="7" t="s">
        <v>1690</v>
      </c>
      <c r="B127" s="7" t="s">
        <v>598</v>
      </c>
      <c r="C127" s="7" t="s">
        <v>48</v>
      </c>
      <c r="D127" s="7" t="s">
        <v>1693</v>
      </c>
      <c r="E127" s="7" t="s">
        <v>1694</v>
      </c>
      <c r="F127" s="8" t="s">
        <v>25</v>
      </c>
      <c r="G127" s="60">
        <v>765000</v>
      </c>
      <c r="H127" s="6" t="s">
        <v>1475</v>
      </c>
      <c r="I127" s="6" t="s">
        <v>27</v>
      </c>
      <c r="J127" s="6" t="s">
        <v>27</v>
      </c>
      <c r="K127" s="6" t="s">
        <v>27</v>
      </c>
      <c r="L127" s="6" t="s">
        <v>27</v>
      </c>
      <c r="M127" s="6" t="s">
        <v>27</v>
      </c>
      <c r="N127" s="6" t="s">
        <v>27</v>
      </c>
      <c r="O127" s="6" t="s">
        <v>27</v>
      </c>
      <c r="P127" s="6" t="s">
        <v>27</v>
      </c>
      <c r="Q127" s="6"/>
      <c r="R127" s="33">
        <f t="shared" si="2"/>
        <v>2022</v>
      </c>
      <c r="S127" s="33"/>
    </row>
    <row r="128" spans="1:19" ht="14.5" x14ac:dyDescent="0.35">
      <c r="A128" s="7" t="s">
        <v>1690</v>
      </c>
      <c r="B128" s="7" t="s">
        <v>598</v>
      </c>
      <c r="C128" s="7" t="s">
        <v>48</v>
      </c>
      <c r="D128" s="7" t="s">
        <v>1501</v>
      </c>
      <c r="E128" s="7" t="s">
        <v>1696</v>
      </c>
      <c r="F128" s="8" t="s">
        <v>44</v>
      </c>
      <c r="G128" s="60">
        <v>10000</v>
      </c>
      <c r="H128" s="6" t="s">
        <v>1475</v>
      </c>
      <c r="I128" s="6" t="s">
        <v>27</v>
      </c>
      <c r="J128" s="6" t="s">
        <v>27</v>
      </c>
      <c r="K128" s="6" t="s">
        <v>27</v>
      </c>
      <c r="L128" s="6" t="s">
        <v>27</v>
      </c>
      <c r="M128" s="6" t="s">
        <v>27</v>
      </c>
      <c r="N128" s="6" t="s">
        <v>27</v>
      </c>
      <c r="O128" s="6" t="s">
        <v>27</v>
      </c>
      <c r="P128" s="6" t="s">
        <v>27</v>
      </c>
      <c r="Q128" s="6"/>
      <c r="R128" s="33">
        <f t="shared" si="2"/>
        <v>2022</v>
      </c>
      <c r="S128" s="33"/>
    </row>
    <row r="129" spans="1:19" ht="14.5" x14ac:dyDescent="0.35">
      <c r="A129" s="7" t="s">
        <v>1690</v>
      </c>
      <c r="B129" s="7" t="s">
        <v>598</v>
      </c>
      <c r="C129" s="7" t="s">
        <v>48</v>
      </c>
      <c r="D129" s="7" t="s">
        <v>1697</v>
      </c>
      <c r="E129" s="7" t="s">
        <v>1698</v>
      </c>
      <c r="F129" s="8" t="s">
        <v>25</v>
      </c>
      <c r="G129" s="60">
        <v>60000</v>
      </c>
      <c r="H129" s="6" t="s">
        <v>1475</v>
      </c>
      <c r="I129" s="6" t="s">
        <v>27</v>
      </c>
      <c r="J129" s="6" t="s">
        <v>27</v>
      </c>
      <c r="K129" s="6" t="s">
        <v>27</v>
      </c>
      <c r="L129" s="6" t="s">
        <v>27</v>
      </c>
      <c r="M129" s="6" t="s">
        <v>27</v>
      </c>
      <c r="N129" s="6" t="s">
        <v>27</v>
      </c>
      <c r="O129" s="6" t="s">
        <v>27</v>
      </c>
      <c r="P129" s="6" t="s">
        <v>27</v>
      </c>
      <c r="Q129" s="6"/>
      <c r="R129" s="33">
        <f t="shared" si="2"/>
        <v>2022</v>
      </c>
      <c r="S129" s="33"/>
    </row>
    <row r="130" spans="1:19" ht="14.5" x14ac:dyDescent="0.35">
      <c r="A130" s="7" t="s">
        <v>1690</v>
      </c>
      <c r="B130" s="7" t="s">
        <v>598</v>
      </c>
      <c r="C130" s="7" t="s">
        <v>48</v>
      </c>
      <c r="D130" s="7" t="s">
        <v>1699</v>
      </c>
      <c r="E130" s="7" t="s">
        <v>1188</v>
      </c>
      <c r="F130" s="8" t="s">
        <v>25</v>
      </c>
      <c r="G130" s="60">
        <v>1500</v>
      </c>
      <c r="H130" s="6" t="s">
        <v>1475</v>
      </c>
      <c r="I130" s="6" t="s">
        <v>27</v>
      </c>
      <c r="J130" s="6" t="s">
        <v>27</v>
      </c>
      <c r="K130" s="6" t="s">
        <v>27</v>
      </c>
      <c r="L130" s="6" t="s">
        <v>27</v>
      </c>
      <c r="M130" s="6" t="s">
        <v>27</v>
      </c>
      <c r="N130" s="6" t="s">
        <v>27</v>
      </c>
      <c r="O130" s="6" t="s">
        <v>27</v>
      </c>
      <c r="P130" s="6" t="s">
        <v>27</v>
      </c>
      <c r="Q130" s="6"/>
      <c r="R130" s="33">
        <f t="shared" si="2"/>
        <v>2022</v>
      </c>
      <c r="S130" s="33"/>
    </row>
    <row r="131" spans="1:19" ht="14.5" x14ac:dyDescent="0.35">
      <c r="A131" s="7" t="s">
        <v>1690</v>
      </c>
      <c r="B131" s="7" t="s">
        <v>598</v>
      </c>
      <c r="C131" s="7" t="s">
        <v>48</v>
      </c>
      <c r="D131" s="7" t="s">
        <v>1700</v>
      </c>
      <c r="E131" s="7" t="s">
        <v>1017</v>
      </c>
      <c r="F131" s="8" t="s">
        <v>25</v>
      </c>
      <c r="G131" s="60">
        <v>3600</v>
      </c>
      <c r="H131" s="6" t="s">
        <v>1475</v>
      </c>
      <c r="I131" s="6" t="s">
        <v>27</v>
      </c>
      <c r="J131" s="6" t="s">
        <v>27</v>
      </c>
      <c r="K131" s="6" t="s">
        <v>27</v>
      </c>
      <c r="L131" s="6" t="s">
        <v>27</v>
      </c>
      <c r="M131" s="6" t="s">
        <v>27</v>
      </c>
      <c r="N131" s="6" t="s">
        <v>27</v>
      </c>
      <c r="O131" s="6" t="s">
        <v>27</v>
      </c>
      <c r="P131" s="6" t="s">
        <v>27</v>
      </c>
      <c r="Q131" s="6"/>
      <c r="R131" s="33">
        <f t="shared" ref="R131:R149" si="3">IFERROR(2000+VALUE(LEFT(A131,2)),"")</f>
        <v>2022</v>
      </c>
      <c r="S131" s="33"/>
    </row>
    <row r="132" spans="1:19" ht="14.5" x14ac:dyDescent="0.35">
      <c r="A132" s="7" t="s">
        <v>1690</v>
      </c>
      <c r="B132" s="7" t="s">
        <v>598</v>
      </c>
      <c r="C132" s="7" t="s">
        <v>48</v>
      </c>
      <c r="D132" s="7" t="s">
        <v>1700</v>
      </c>
      <c r="E132" s="7" t="s">
        <v>1701</v>
      </c>
      <c r="F132" s="8" t="s">
        <v>247</v>
      </c>
      <c r="G132" s="60">
        <v>26402</v>
      </c>
      <c r="H132" s="6" t="s">
        <v>1475</v>
      </c>
      <c r="I132" s="6" t="s">
        <v>27</v>
      </c>
      <c r="J132" s="6" t="s">
        <v>27</v>
      </c>
      <c r="K132" s="6" t="s">
        <v>27</v>
      </c>
      <c r="L132" s="6" t="s">
        <v>27</v>
      </c>
      <c r="M132" s="6" t="s">
        <v>27</v>
      </c>
      <c r="N132" s="6" t="s">
        <v>27</v>
      </c>
      <c r="O132" s="6" t="s">
        <v>27</v>
      </c>
      <c r="P132" s="6" t="s">
        <v>27</v>
      </c>
      <c r="Q132" s="6"/>
      <c r="R132" s="33">
        <f t="shared" si="3"/>
        <v>2022</v>
      </c>
      <c r="S132" s="33"/>
    </row>
    <row r="133" spans="1:19" ht="14.5" x14ac:dyDescent="0.35">
      <c r="A133" s="7" t="s">
        <v>1690</v>
      </c>
      <c r="B133" s="7" t="s">
        <v>598</v>
      </c>
      <c r="C133" s="7" t="s">
        <v>48</v>
      </c>
      <c r="D133" s="7" t="s">
        <v>1702</v>
      </c>
      <c r="E133" s="7" t="s">
        <v>1019</v>
      </c>
      <c r="F133" s="8" t="s">
        <v>25</v>
      </c>
      <c r="G133" s="60">
        <v>1600</v>
      </c>
      <c r="H133" s="6" t="s">
        <v>1475</v>
      </c>
      <c r="I133" s="6" t="s">
        <v>27</v>
      </c>
      <c r="J133" s="6" t="s">
        <v>27</v>
      </c>
      <c r="K133" s="6" t="s">
        <v>27</v>
      </c>
      <c r="L133" s="6" t="s">
        <v>27</v>
      </c>
      <c r="M133" s="6" t="s">
        <v>27</v>
      </c>
      <c r="N133" s="6" t="s">
        <v>27</v>
      </c>
      <c r="O133" s="6" t="s">
        <v>27</v>
      </c>
      <c r="P133" s="6" t="s">
        <v>27</v>
      </c>
      <c r="Q133" s="6"/>
      <c r="R133" s="33">
        <f t="shared" si="3"/>
        <v>2022</v>
      </c>
      <c r="S133" s="33"/>
    </row>
    <row r="134" spans="1:19" ht="14.5" x14ac:dyDescent="0.35">
      <c r="A134" s="7" t="s">
        <v>1703</v>
      </c>
      <c r="B134" s="7" t="s">
        <v>589</v>
      </c>
      <c r="C134" s="7" t="s">
        <v>48</v>
      </c>
      <c r="D134" s="7" t="s">
        <v>1640</v>
      </c>
      <c r="E134" s="7" t="s">
        <v>1190</v>
      </c>
      <c r="F134" s="8" t="s">
        <v>25</v>
      </c>
      <c r="G134" s="60">
        <v>143000</v>
      </c>
      <c r="H134" s="6" t="s">
        <v>1475</v>
      </c>
      <c r="I134" s="6" t="s">
        <v>27</v>
      </c>
      <c r="J134" s="6" t="s">
        <v>27</v>
      </c>
      <c r="K134" s="6" t="s">
        <v>27</v>
      </c>
      <c r="L134" s="6" t="s">
        <v>27</v>
      </c>
      <c r="M134" s="6" t="s">
        <v>27</v>
      </c>
      <c r="N134" s="6" t="s">
        <v>27</v>
      </c>
      <c r="O134" s="6" t="s">
        <v>27</v>
      </c>
      <c r="P134" s="6" t="s">
        <v>27</v>
      </c>
      <c r="Q134" s="6"/>
      <c r="R134" s="33">
        <f t="shared" si="3"/>
        <v>2022</v>
      </c>
      <c r="S134" s="33"/>
    </row>
    <row r="135" spans="1:19" ht="14.5" x14ac:dyDescent="0.35">
      <c r="A135" s="7" t="s">
        <v>1704</v>
      </c>
      <c r="B135" s="7" t="s">
        <v>586</v>
      </c>
      <c r="C135" s="7" t="s">
        <v>48</v>
      </c>
      <c r="D135" s="7" t="s">
        <v>1545</v>
      </c>
      <c r="E135" s="7" t="s">
        <v>1183</v>
      </c>
      <c r="F135" s="8" t="s">
        <v>25</v>
      </c>
      <c r="G135" s="60">
        <v>74000</v>
      </c>
      <c r="H135" s="6" t="s">
        <v>1475</v>
      </c>
      <c r="I135" s="6" t="s">
        <v>27</v>
      </c>
      <c r="J135" s="6" t="s">
        <v>27</v>
      </c>
      <c r="K135" s="6" t="s">
        <v>27</v>
      </c>
      <c r="L135" s="6" t="s">
        <v>27</v>
      </c>
      <c r="M135" s="6" t="s">
        <v>27</v>
      </c>
      <c r="N135" s="6" t="s">
        <v>27</v>
      </c>
      <c r="O135" s="6" t="s">
        <v>27</v>
      </c>
      <c r="P135" s="6" t="s">
        <v>27</v>
      </c>
      <c r="Q135" s="6"/>
      <c r="R135" s="33">
        <f t="shared" si="3"/>
        <v>2022</v>
      </c>
      <c r="S135" s="33"/>
    </row>
    <row r="136" spans="1:19" ht="14.5" x14ac:dyDescent="0.35">
      <c r="A136" s="7" t="s">
        <v>1690</v>
      </c>
      <c r="B136" s="7" t="s">
        <v>598</v>
      </c>
      <c r="C136" s="7" t="s">
        <v>48</v>
      </c>
      <c r="D136" s="7" t="s">
        <v>1705</v>
      </c>
      <c r="E136" s="7" t="s">
        <v>1020</v>
      </c>
      <c r="F136" s="8" t="s">
        <v>25</v>
      </c>
      <c r="G136" s="60">
        <v>6500</v>
      </c>
      <c r="H136" s="6" t="s">
        <v>1475</v>
      </c>
      <c r="I136" s="6" t="s">
        <v>27</v>
      </c>
      <c r="J136" s="6" t="s">
        <v>27</v>
      </c>
      <c r="K136" s="6" t="s">
        <v>27</v>
      </c>
      <c r="L136" s="6" t="s">
        <v>27</v>
      </c>
      <c r="M136" s="6" t="s">
        <v>27</v>
      </c>
      <c r="N136" s="6" t="s">
        <v>27</v>
      </c>
      <c r="O136" s="6" t="s">
        <v>27</v>
      </c>
      <c r="P136" s="6" t="s">
        <v>27</v>
      </c>
      <c r="Q136" s="6"/>
      <c r="R136" s="33">
        <f t="shared" si="3"/>
        <v>2022</v>
      </c>
      <c r="S136" s="33"/>
    </row>
    <row r="137" spans="1:19" ht="14.5" x14ac:dyDescent="0.35">
      <c r="A137" s="7" t="s">
        <v>1690</v>
      </c>
      <c r="B137" s="7" t="s">
        <v>598</v>
      </c>
      <c r="C137" s="7" t="s">
        <v>48</v>
      </c>
      <c r="D137" s="7" t="s">
        <v>1706</v>
      </c>
      <c r="E137" s="7" t="s">
        <v>1687</v>
      </c>
      <c r="F137" s="8" t="s">
        <v>25</v>
      </c>
      <c r="G137" s="60">
        <v>1100</v>
      </c>
      <c r="H137" s="6" t="s">
        <v>1475</v>
      </c>
      <c r="I137" s="6" t="s">
        <v>27</v>
      </c>
      <c r="J137" s="6" t="s">
        <v>27</v>
      </c>
      <c r="K137" s="6" t="s">
        <v>27</v>
      </c>
      <c r="L137" s="6" t="s">
        <v>27</v>
      </c>
      <c r="M137" s="6" t="s">
        <v>27</v>
      </c>
      <c r="N137" s="6" t="s">
        <v>27</v>
      </c>
      <c r="O137" s="6" t="s">
        <v>27</v>
      </c>
      <c r="P137" s="6" t="s">
        <v>27</v>
      </c>
      <c r="Q137" s="6"/>
      <c r="R137" s="33">
        <f t="shared" si="3"/>
        <v>2022</v>
      </c>
      <c r="S137" s="33"/>
    </row>
    <row r="138" spans="1:19" ht="14.5" x14ac:dyDescent="0.35">
      <c r="A138" s="7" t="s">
        <v>1690</v>
      </c>
      <c r="B138" s="7" t="s">
        <v>598</v>
      </c>
      <c r="C138" s="7" t="s">
        <v>48</v>
      </c>
      <c r="D138" s="7" t="s">
        <v>1707</v>
      </c>
      <c r="E138" s="7" t="s">
        <v>1015</v>
      </c>
      <c r="F138" s="8" t="s">
        <v>25</v>
      </c>
      <c r="G138" s="60">
        <v>12500</v>
      </c>
      <c r="H138" s="6" t="s">
        <v>1475</v>
      </c>
      <c r="I138" s="6" t="s">
        <v>27</v>
      </c>
      <c r="J138" s="6" t="s">
        <v>27</v>
      </c>
      <c r="K138" s="6" t="s">
        <v>27</v>
      </c>
      <c r="L138" s="6" t="s">
        <v>27</v>
      </c>
      <c r="M138" s="6" t="s">
        <v>27</v>
      </c>
      <c r="N138" s="6" t="s">
        <v>27</v>
      </c>
      <c r="O138" s="6" t="s">
        <v>27</v>
      </c>
      <c r="P138" s="6" t="s">
        <v>27</v>
      </c>
      <c r="Q138" s="6"/>
      <c r="R138" s="33">
        <f t="shared" si="3"/>
        <v>2022</v>
      </c>
      <c r="S138" s="33"/>
    </row>
    <row r="139" spans="1:19" ht="14.5" x14ac:dyDescent="0.35">
      <c r="A139" s="7" t="s">
        <v>1708</v>
      </c>
      <c r="B139" s="7" t="s">
        <v>568</v>
      </c>
      <c r="C139" s="7" t="s">
        <v>37</v>
      </c>
      <c r="D139" s="7" t="s">
        <v>1545</v>
      </c>
      <c r="E139" s="7" t="s">
        <v>1183</v>
      </c>
      <c r="F139" s="8" t="s">
        <v>25</v>
      </c>
      <c r="G139" s="60">
        <v>1800</v>
      </c>
      <c r="H139" s="6" t="s">
        <v>1475</v>
      </c>
      <c r="I139" s="6" t="s">
        <v>27</v>
      </c>
      <c r="J139" s="6" t="s">
        <v>27</v>
      </c>
      <c r="K139" s="6" t="s">
        <v>27</v>
      </c>
      <c r="L139" s="6" t="s">
        <v>27</v>
      </c>
      <c r="M139" s="6" t="s">
        <v>27</v>
      </c>
      <c r="N139" s="6" t="s">
        <v>27</v>
      </c>
      <c r="O139" s="6" t="s">
        <v>27</v>
      </c>
      <c r="P139" s="6" t="s">
        <v>27</v>
      </c>
      <c r="Q139" s="6"/>
      <c r="R139" s="33">
        <f t="shared" si="3"/>
        <v>2022</v>
      </c>
      <c r="S139" s="33"/>
    </row>
    <row r="140" spans="1:19" ht="14.5" x14ac:dyDescent="0.35">
      <c r="A140" s="7" t="s">
        <v>1690</v>
      </c>
      <c r="B140" s="7" t="s">
        <v>598</v>
      </c>
      <c r="C140" s="7" t="s">
        <v>48</v>
      </c>
      <c r="D140" s="7" t="s">
        <v>1709</v>
      </c>
      <c r="E140" s="7" t="s">
        <v>1185</v>
      </c>
      <c r="F140" s="8" t="s">
        <v>25</v>
      </c>
      <c r="G140" s="60">
        <v>13500</v>
      </c>
      <c r="H140" s="6" t="s">
        <v>1475</v>
      </c>
      <c r="I140" s="6" t="s">
        <v>27</v>
      </c>
      <c r="J140" s="6" t="s">
        <v>27</v>
      </c>
      <c r="K140" s="6" t="s">
        <v>27</v>
      </c>
      <c r="L140" s="6" t="s">
        <v>27</v>
      </c>
      <c r="M140" s="6" t="s">
        <v>27</v>
      </c>
      <c r="N140" s="6" t="s">
        <v>27</v>
      </c>
      <c r="O140" s="6" t="s">
        <v>27</v>
      </c>
      <c r="P140" s="6" t="s">
        <v>27</v>
      </c>
      <c r="Q140" s="6"/>
      <c r="R140" s="33">
        <f t="shared" si="3"/>
        <v>2022</v>
      </c>
      <c r="S140" s="33"/>
    </row>
    <row r="141" spans="1:19" ht="14.5" x14ac:dyDescent="0.35">
      <c r="A141" s="7" t="s">
        <v>1708</v>
      </c>
      <c r="B141" s="7" t="s">
        <v>568</v>
      </c>
      <c r="C141" s="7" t="s">
        <v>37</v>
      </c>
      <c r="D141" s="7" t="s">
        <v>1710</v>
      </c>
      <c r="E141" s="7" t="s">
        <v>662</v>
      </c>
      <c r="F141" s="8" t="s">
        <v>247</v>
      </c>
      <c r="G141" s="60">
        <v>8282</v>
      </c>
      <c r="H141" s="6" t="s">
        <v>1475</v>
      </c>
      <c r="I141" s="6" t="s">
        <v>27</v>
      </c>
      <c r="J141" s="6" t="s">
        <v>27</v>
      </c>
      <c r="K141" s="6" t="s">
        <v>27</v>
      </c>
      <c r="L141" s="6" t="s">
        <v>27</v>
      </c>
      <c r="M141" s="6" t="s">
        <v>27</v>
      </c>
      <c r="N141" s="6" t="s">
        <v>27</v>
      </c>
      <c r="O141" s="6" t="s">
        <v>27</v>
      </c>
      <c r="P141" s="6" t="s">
        <v>27</v>
      </c>
      <c r="Q141" s="6"/>
      <c r="R141" s="33">
        <f t="shared" si="3"/>
        <v>2022</v>
      </c>
      <c r="S141" s="33"/>
    </row>
    <row r="142" spans="1:19" ht="14.5" x14ac:dyDescent="0.35">
      <c r="A142" s="7" t="s">
        <v>1063</v>
      </c>
      <c r="B142" s="7" t="s">
        <v>1711</v>
      </c>
      <c r="C142" s="7" t="s">
        <v>37</v>
      </c>
      <c r="D142" s="7" t="s">
        <v>1710</v>
      </c>
      <c r="E142" s="7" t="s">
        <v>1712</v>
      </c>
      <c r="F142" s="8" t="s">
        <v>77</v>
      </c>
      <c r="G142" s="60">
        <v>385000</v>
      </c>
      <c r="H142" s="6" t="s">
        <v>1475</v>
      </c>
      <c r="I142" s="6" t="s">
        <v>27</v>
      </c>
      <c r="J142" s="6" t="s">
        <v>27</v>
      </c>
      <c r="K142" s="6" t="s">
        <v>27</v>
      </c>
      <c r="L142" s="6" t="s">
        <v>27</v>
      </c>
      <c r="M142" s="6" t="s">
        <v>27</v>
      </c>
      <c r="N142" s="6" t="s">
        <v>27</v>
      </c>
      <c r="O142" s="6" t="s">
        <v>27</v>
      </c>
      <c r="P142" s="6" t="s">
        <v>27</v>
      </c>
      <c r="Q142" s="6"/>
      <c r="R142" s="33">
        <f t="shared" si="3"/>
        <v>2022</v>
      </c>
      <c r="S142" s="33"/>
    </row>
    <row r="143" spans="1:19" ht="14.5" x14ac:dyDescent="0.35">
      <c r="A143" s="7" t="s">
        <v>1713</v>
      </c>
      <c r="B143" s="7" t="s">
        <v>559</v>
      </c>
      <c r="C143" s="7" t="s">
        <v>37</v>
      </c>
      <c r="D143" s="7" t="s">
        <v>1710</v>
      </c>
      <c r="E143" s="7" t="s">
        <v>1712</v>
      </c>
      <c r="F143" s="8" t="s">
        <v>53</v>
      </c>
      <c r="G143" s="60">
        <v>94905</v>
      </c>
      <c r="H143" s="6" t="s">
        <v>1475</v>
      </c>
      <c r="I143" s="6" t="s">
        <v>27</v>
      </c>
      <c r="J143" s="6" t="s">
        <v>27</v>
      </c>
      <c r="K143" s="6" t="s">
        <v>27</v>
      </c>
      <c r="L143" s="6" t="s">
        <v>27</v>
      </c>
      <c r="M143" s="6" t="s">
        <v>27</v>
      </c>
      <c r="N143" s="6" t="s">
        <v>27</v>
      </c>
      <c r="O143" s="6" t="s">
        <v>27</v>
      </c>
      <c r="P143" s="6" t="s">
        <v>27</v>
      </c>
      <c r="Q143" s="6"/>
      <c r="R143" s="33">
        <f t="shared" si="3"/>
        <v>2022</v>
      </c>
      <c r="S143" s="33"/>
    </row>
    <row r="144" spans="1:19" ht="14.5" x14ac:dyDescent="0.35">
      <c r="A144" s="7" t="s">
        <v>1714</v>
      </c>
      <c r="B144" s="7" t="s">
        <v>580</v>
      </c>
      <c r="C144" s="7" t="s">
        <v>42</v>
      </c>
      <c r="D144" s="7" t="s">
        <v>1715</v>
      </c>
      <c r="E144" s="7" t="s">
        <v>1716</v>
      </c>
      <c r="F144" s="8" t="s">
        <v>25</v>
      </c>
      <c r="G144" s="60">
        <v>656250</v>
      </c>
      <c r="H144" s="6" t="s">
        <v>1475</v>
      </c>
      <c r="I144" s="6" t="s">
        <v>27</v>
      </c>
      <c r="J144" s="6" t="s">
        <v>27</v>
      </c>
      <c r="K144" s="6" t="s">
        <v>27</v>
      </c>
      <c r="L144" s="6" t="s">
        <v>27</v>
      </c>
      <c r="M144" s="6" t="s">
        <v>27</v>
      </c>
      <c r="N144" s="6" t="s">
        <v>27</v>
      </c>
      <c r="O144" s="6" t="s">
        <v>27</v>
      </c>
      <c r="P144" s="6" t="s">
        <v>27</v>
      </c>
      <c r="Q144" s="6"/>
      <c r="R144" s="33">
        <f t="shared" si="3"/>
        <v>2022</v>
      </c>
      <c r="S144" s="33"/>
    </row>
    <row r="145" spans="1:19" ht="14.5" x14ac:dyDescent="0.35">
      <c r="A145" s="7" t="s">
        <v>1708</v>
      </c>
      <c r="B145" s="7" t="s">
        <v>568</v>
      </c>
      <c r="C145" s="7" t="s">
        <v>37</v>
      </c>
      <c r="D145" s="7" t="s">
        <v>1717</v>
      </c>
      <c r="E145" s="7" t="s">
        <v>1718</v>
      </c>
      <c r="F145" s="8" t="s">
        <v>25</v>
      </c>
      <c r="G145" s="60">
        <v>387000</v>
      </c>
      <c r="H145" s="6" t="s">
        <v>1475</v>
      </c>
      <c r="I145" s="6" t="s">
        <v>27</v>
      </c>
      <c r="J145" s="6" t="s">
        <v>27</v>
      </c>
      <c r="K145" s="6" t="s">
        <v>27</v>
      </c>
      <c r="L145" s="6" t="s">
        <v>27</v>
      </c>
      <c r="M145" s="6" t="s">
        <v>27</v>
      </c>
      <c r="N145" s="6" t="s">
        <v>27</v>
      </c>
      <c r="O145" s="6" t="s">
        <v>27</v>
      </c>
      <c r="P145" s="6" t="s">
        <v>27</v>
      </c>
      <c r="Q145" s="6"/>
      <c r="R145" s="33">
        <f t="shared" si="3"/>
        <v>2022</v>
      </c>
      <c r="S145" s="33"/>
    </row>
    <row r="146" spans="1:19" ht="14.5" x14ac:dyDescent="0.35">
      <c r="A146" s="7" t="s">
        <v>522</v>
      </c>
      <c r="B146" s="7" t="s">
        <v>523</v>
      </c>
      <c r="C146" s="7" t="s">
        <v>48</v>
      </c>
      <c r="D146" s="7" t="s">
        <v>1665</v>
      </c>
      <c r="E146" s="7" t="s">
        <v>1719</v>
      </c>
      <c r="F146" s="8" t="s">
        <v>44</v>
      </c>
      <c r="G146" s="60">
        <v>25000</v>
      </c>
      <c r="H146" s="6" t="s">
        <v>1475</v>
      </c>
      <c r="I146" s="6" t="s">
        <v>27</v>
      </c>
      <c r="J146" s="6" t="s">
        <v>27</v>
      </c>
      <c r="K146" s="6" t="s">
        <v>27</v>
      </c>
      <c r="L146" s="6" t="s">
        <v>27</v>
      </c>
      <c r="M146" s="6" t="s">
        <v>27</v>
      </c>
      <c r="N146" s="6" t="s">
        <v>27</v>
      </c>
      <c r="O146" s="6" t="s">
        <v>27</v>
      </c>
      <c r="P146" s="6" t="s">
        <v>27</v>
      </c>
      <c r="Q146" s="6"/>
      <c r="R146" s="33">
        <f t="shared" si="3"/>
        <v>2022</v>
      </c>
      <c r="S146" s="33"/>
    </row>
    <row r="147" spans="1:19" ht="14.5" x14ac:dyDescent="0.35">
      <c r="A147" s="7" t="s">
        <v>518</v>
      </c>
      <c r="B147" s="7" t="s">
        <v>519</v>
      </c>
      <c r="C147" s="7" t="s">
        <v>48</v>
      </c>
      <c r="D147" s="7" t="s">
        <v>1720</v>
      </c>
      <c r="E147" s="7" t="s">
        <v>1575</v>
      </c>
      <c r="F147" s="8" t="s">
        <v>44</v>
      </c>
      <c r="G147" s="60">
        <v>60000</v>
      </c>
      <c r="H147" s="6" t="s">
        <v>1475</v>
      </c>
      <c r="I147" s="6" t="s">
        <v>27</v>
      </c>
      <c r="J147" s="6" t="s">
        <v>27</v>
      </c>
      <c r="K147" s="6" t="s">
        <v>27</v>
      </c>
      <c r="L147" s="6" t="s">
        <v>27</v>
      </c>
      <c r="M147" s="6" t="s">
        <v>27</v>
      </c>
      <c r="N147" s="6" t="s">
        <v>27</v>
      </c>
      <c r="O147" s="6" t="s">
        <v>27</v>
      </c>
      <c r="P147" s="6" t="s">
        <v>27</v>
      </c>
      <c r="Q147" s="6"/>
      <c r="R147" s="33">
        <f t="shared" si="3"/>
        <v>2022</v>
      </c>
      <c r="S147" s="33"/>
    </row>
    <row r="148" spans="1:19" ht="14.5" x14ac:dyDescent="0.35">
      <c r="A148" s="7" t="s">
        <v>522</v>
      </c>
      <c r="B148" s="7" t="s">
        <v>523</v>
      </c>
      <c r="C148" s="7" t="s">
        <v>48</v>
      </c>
      <c r="D148" s="7" t="s">
        <v>1497</v>
      </c>
      <c r="E148" s="7" t="s">
        <v>1719</v>
      </c>
      <c r="F148" s="8" t="s">
        <v>25</v>
      </c>
      <c r="G148" s="60">
        <v>74000</v>
      </c>
      <c r="H148" s="6" t="s">
        <v>1475</v>
      </c>
      <c r="I148" s="6" t="s">
        <v>27</v>
      </c>
      <c r="J148" s="6" t="s">
        <v>27</v>
      </c>
      <c r="K148" s="6" t="s">
        <v>27</v>
      </c>
      <c r="L148" s="6" t="s">
        <v>27</v>
      </c>
      <c r="M148" s="6" t="s">
        <v>27</v>
      </c>
      <c r="N148" s="6" t="s">
        <v>27</v>
      </c>
      <c r="O148" s="6" t="s">
        <v>27</v>
      </c>
      <c r="P148" s="6" t="s">
        <v>27</v>
      </c>
      <c r="Q148" s="6"/>
      <c r="R148" s="33">
        <f t="shared" si="3"/>
        <v>2022</v>
      </c>
      <c r="S148" s="33"/>
    </row>
    <row r="149" spans="1:19" ht="14.5" x14ac:dyDescent="0.35">
      <c r="A149" s="7" t="s">
        <v>1690</v>
      </c>
      <c r="B149" s="7" t="s">
        <v>598</v>
      </c>
      <c r="C149" s="7" t="s">
        <v>48</v>
      </c>
      <c r="D149" s="7" t="s">
        <v>1721</v>
      </c>
      <c r="E149" s="7" t="s">
        <v>1722</v>
      </c>
      <c r="F149" s="8" t="s">
        <v>25</v>
      </c>
      <c r="G149" s="60">
        <v>125500</v>
      </c>
      <c r="H149" s="6" t="s">
        <v>1475</v>
      </c>
      <c r="I149" s="6" t="s">
        <v>27</v>
      </c>
      <c r="J149" s="6" t="s">
        <v>27</v>
      </c>
      <c r="K149" s="6" t="s">
        <v>27</v>
      </c>
      <c r="L149" s="6" t="s">
        <v>27</v>
      </c>
      <c r="M149" s="6" t="s">
        <v>27</v>
      </c>
      <c r="N149" s="6" t="s">
        <v>27</v>
      </c>
      <c r="O149" s="6" t="s">
        <v>27</v>
      </c>
      <c r="P149" s="6" t="s">
        <v>27</v>
      </c>
      <c r="Q149" s="6"/>
      <c r="R149" s="33">
        <f t="shared" si="3"/>
        <v>2022</v>
      </c>
      <c r="S149" s="33"/>
    </row>
    <row r="150" spans="1:19" ht="14.5" x14ac:dyDescent="0.35">
      <c r="A150" s="7" t="s">
        <v>1723</v>
      </c>
      <c r="B150" s="7" t="s">
        <v>565</v>
      </c>
      <c r="C150" s="7" t="s">
        <v>23</v>
      </c>
      <c r="D150" s="7" t="s">
        <v>1635</v>
      </c>
      <c r="E150" s="7" t="s">
        <v>662</v>
      </c>
      <c r="F150" s="8" t="s">
        <v>25</v>
      </c>
      <c r="G150" s="60">
        <v>5500</v>
      </c>
      <c r="H150" s="6" t="s">
        <v>1475</v>
      </c>
      <c r="I150" s="6" t="s">
        <v>27</v>
      </c>
      <c r="J150" s="6" t="s">
        <v>27</v>
      </c>
      <c r="K150" s="6" t="s">
        <v>27</v>
      </c>
      <c r="L150" s="6" t="s">
        <v>27</v>
      </c>
      <c r="M150" s="6" t="s">
        <v>27</v>
      </c>
      <c r="N150" s="6" t="s">
        <v>27</v>
      </c>
      <c r="O150" s="6" t="s">
        <v>27</v>
      </c>
      <c r="P150" s="6" t="s">
        <v>27</v>
      </c>
      <c r="Q150" s="6"/>
      <c r="R150" s="33">
        <f t="shared" ref="R150:R194" si="4">IFERROR(2000+VALUE(LEFT(A150,2)),"")</f>
        <v>2022</v>
      </c>
      <c r="S150" s="36"/>
    </row>
    <row r="151" spans="1:19" ht="14.5" x14ac:dyDescent="0.35">
      <c r="A151" s="7" t="s">
        <v>1723</v>
      </c>
      <c r="B151" s="7" t="s">
        <v>565</v>
      </c>
      <c r="C151" s="7" t="s">
        <v>23</v>
      </c>
      <c r="D151" s="7" t="s">
        <v>1635</v>
      </c>
      <c r="E151" s="7" t="s">
        <v>1724</v>
      </c>
      <c r="F151" s="8" t="s">
        <v>77</v>
      </c>
      <c r="G151" s="60">
        <v>517300</v>
      </c>
      <c r="H151" s="6" t="s">
        <v>1475</v>
      </c>
      <c r="I151" s="6" t="s">
        <v>27</v>
      </c>
      <c r="J151" s="6" t="s">
        <v>27</v>
      </c>
      <c r="K151" s="6" t="s">
        <v>27</v>
      </c>
      <c r="L151" s="6" t="s">
        <v>27</v>
      </c>
      <c r="M151" s="6" t="s">
        <v>27</v>
      </c>
      <c r="N151" s="6" t="s">
        <v>27</v>
      </c>
      <c r="O151" s="6" t="s">
        <v>27</v>
      </c>
      <c r="P151" s="6" t="s">
        <v>27</v>
      </c>
      <c r="Q151" s="6"/>
      <c r="R151" s="33">
        <f t="shared" si="4"/>
        <v>2022</v>
      </c>
      <c r="S151" s="36"/>
    </row>
    <row r="152" spans="1:19" ht="14.5" x14ac:dyDescent="0.35">
      <c r="A152" s="7" t="s">
        <v>1725</v>
      </c>
      <c r="B152" s="7" t="s">
        <v>552</v>
      </c>
      <c r="C152" s="7" t="s">
        <v>23</v>
      </c>
      <c r="D152" s="7" t="s">
        <v>1726</v>
      </c>
      <c r="E152" s="7" t="s">
        <v>1727</v>
      </c>
      <c r="F152" s="8" t="s">
        <v>44</v>
      </c>
      <c r="G152" s="60">
        <v>60000</v>
      </c>
      <c r="H152" s="6" t="s">
        <v>1475</v>
      </c>
      <c r="I152" s="6" t="s">
        <v>27</v>
      </c>
      <c r="J152" s="6" t="s">
        <v>27</v>
      </c>
      <c r="K152" s="6" t="s">
        <v>27</v>
      </c>
      <c r="L152" s="6" t="s">
        <v>27</v>
      </c>
      <c r="M152" s="6" t="s">
        <v>27</v>
      </c>
      <c r="N152" s="6" t="s">
        <v>27</v>
      </c>
      <c r="O152" s="6" t="s">
        <v>27</v>
      </c>
      <c r="P152" s="6" t="s">
        <v>27</v>
      </c>
      <c r="Q152" s="6"/>
      <c r="R152" s="33">
        <f t="shared" si="4"/>
        <v>2022</v>
      </c>
      <c r="S152" s="36"/>
    </row>
    <row r="153" spans="1:19" ht="14.5" x14ac:dyDescent="0.35">
      <c r="A153" s="7" t="s">
        <v>1725</v>
      </c>
      <c r="B153" s="7" t="s">
        <v>552</v>
      </c>
      <c r="C153" s="7" t="s">
        <v>23</v>
      </c>
      <c r="D153" s="7" t="s">
        <v>1728</v>
      </c>
      <c r="E153" s="7" t="s">
        <v>1729</v>
      </c>
      <c r="F153" s="8" t="s">
        <v>44</v>
      </c>
      <c r="G153" s="60">
        <v>80000</v>
      </c>
      <c r="H153" s="6" t="s">
        <v>1475</v>
      </c>
      <c r="I153" s="6" t="s">
        <v>27</v>
      </c>
      <c r="J153" s="6" t="s">
        <v>27</v>
      </c>
      <c r="K153" s="6" t="s">
        <v>27</v>
      </c>
      <c r="L153" s="6" t="s">
        <v>27</v>
      </c>
      <c r="M153" s="6" t="s">
        <v>27</v>
      </c>
      <c r="N153" s="6" t="s">
        <v>27</v>
      </c>
      <c r="O153" s="6" t="s">
        <v>27</v>
      </c>
      <c r="P153" s="6" t="s">
        <v>27</v>
      </c>
      <c r="Q153" s="6"/>
      <c r="R153" s="33">
        <f t="shared" si="4"/>
        <v>2022</v>
      </c>
      <c r="S153" s="36"/>
    </row>
    <row r="154" spans="1:19" ht="14.5" x14ac:dyDescent="0.35">
      <c r="A154" s="7" t="s">
        <v>1725</v>
      </c>
      <c r="B154" s="7" t="s">
        <v>552</v>
      </c>
      <c r="C154" s="7" t="s">
        <v>23</v>
      </c>
      <c r="D154" s="7" t="s">
        <v>1490</v>
      </c>
      <c r="E154" s="7" t="s">
        <v>1078</v>
      </c>
      <c r="F154" s="8" t="s">
        <v>53</v>
      </c>
      <c r="G154" s="60">
        <v>19000</v>
      </c>
      <c r="H154" s="6" t="s">
        <v>1475</v>
      </c>
      <c r="I154" s="6" t="s">
        <v>27</v>
      </c>
      <c r="J154" s="6" t="s">
        <v>27</v>
      </c>
      <c r="K154" s="6" t="s">
        <v>27</v>
      </c>
      <c r="L154" s="6" t="s">
        <v>27</v>
      </c>
      <c r="M154" s="6" t="s">
        <v>27</v>
      </c>
      <c r="N154" s="6" t="s">
        <v>27</v>
      </c>
      <c r="O154" s="6" t="s">
        <v>27</v>
      </c>
      <c r="P154" s="6" t="s">
        <v>27</v>
      </c>
      <c r="Q154" s="6"/>
      <c r="R154" s="33">
        <f t="shared" si="4"/>
        <v>2022</v>
      </c>
      <c r="S154" s="36"/>
    </row>
    <row r="155" spans="1:19" ht="14.5" x14ac:dyDescent="0.35">
      <c r="A155" s="7" t="s">
        <v>1725</v>
      </c>
      <c r="B155" s="7" t="s">
        <v>552</v>
      </c>
      <c r="C155" s="7" t="s">
        <v>23</v>
      </c>
      <c r="D155" s="7" t="s">
        <v>1730</v>
      </c>
      <c r="E155" s="7" t="s">
        <v>1731</v>
      </c>
      <c r="F155" s="8" t="s">
        <v>247</v>
      </c>
      <c r="G155" s="60">
        <v>5002</v>
      </c>
      <c r="H155" s="6" t="s">
        <v>749</v>
      </c>
      <c r="I155" s="175"/>
      <c r="J155" s="175"/>
      <c r="K155" s="175"/>
      <c r="L155" s="175"/>
      <c r="M155" s="175"/>
      <c r="N155" s="175"/>
      <c r="O155" s="175"/>
      <c r="P155" s="175"/>
      <c r="Q155" s="6"/>
      <c r="R155" s="33">
        <f t="shared" si="4"/>
        <v>2022</v>
      </c>
      <c r="S155" s="36"/>
    </row>
    <row r="156" spans="1:19" ht="14.5" x14ac:dyDescent="0.35">
      <c r="A156" s="7" t="s">
        <v>1725</v>
      </c>
      <c r="B156" s="7" t="s">
        <v>552</v>
      </c>
      <c r="C156" s="7" t="s">
        <v>23</v>
      </c>
      <c r="D156" s="7" t="s">
        <v>1730</v>
      </c>
      <c r="E156" s="7" t="s">
        <v>1731</v>
      </c>
      <c r="F156" s="8" t="s">
        <v>247</v>
      </c>
      <c r="G156" s="60">
        <v>42002</v>
      </c>
      <c r="H156" s="6" t="s">
        <v>749</v>
      </c>
      <c r="I156" s="175"/>
      <c r="J156" s="175"/>
      <c r="K156" s="175"/>
      <c r="L156" s="175"/>
      <c r="M156" s="175"/>
      <c r="N156" s="175"/>
      <c r="O156" s="175"/>
      <c r="P156" s="175"/>
      <c r="Q156" s="6"/>
      <c r="R156" s="33">
        <f t="shared" si="4"/>
        <v>2022</v>
      </c>
      <c r="S156" s="36"/>
    </row>
    <row r="157" spans="1:19" ht="14.5" x14ac:dyDescent="0.35">
      <c r="A157" s="7" t="s">
        <v>1732</v>
      </c>
      <c r="B157" s="7" t="s">
        <v>544</v>
      </c>
      <c r="C157" s="7" t="s">
        <v>37</v>
      </c>
      <c r="D157" s="7" t="s">
        <v>1543</v>
      </c>
      <c r="E157" s="7" t="s">
        <v>1151</v>
      </c>
      <c r="F157" s="8" t="s">
        <v>25</v>
      </c>
      <c r="G157" s="60">
        <v>2620</v>
      </c>
      <c r="H157" s="6" t="s">
        <v>1475</v>
      </c>
      <c r="I157" s="6" t="s">
        <v>27</v>
      </c>
      <c r="J157" s="6" t="s">
        <v>27</v>
      </c>
      <c r="K157" s="6" t="s">
        <v>27</v>
      </c>
      <c r="L157" s="6" t="s">
        <v>27</v>
      </c>
      <c r="M157" s="6" t="s">
        <v>27</v>
      </c>
      <c r="N157" s="6" t="s">
        <v>27</v>
      </c>
      <c r="O157" s="6" t="s">
        <v>27</v>
      </c>
      <c r="P157" s="6" t="s">
        <v>27</v>
      </c>
      <c r="Q157" s="6"/>
      <c r="R157" s="33">
        <f t="shared" si="4"/>
        <v>2022</v>
      </c>
      <c r="S157" s="33"/>
    </row>
    <row r="158" spans="1:19" ht="14.5" x14ac:dyDescent="0.35">
      <c r="A158" s="7" t="s">
        <v>1733</v>
      </c>
      <c r="B158" s="7" t="s">
        <v>540</v>
      </c>
      <c r="C158" s="7" t="s">
        <v>61</v>
      </c>
      <c r="D158" s="7" t="s">
        <v>1505</v>
      </c>
      <c r="E158" s="7" t="s">
        <v>1734</v>
      </c>
      <c r="F158" s="8" t="s">
        <v>25</v>
      </c>
      <c r="G158" s="60">
        <v>97000</v>
      </c>
      <c r="H158" s="6" t="s">
        <v>749</v>
      </c>
      <c r="I158" s="175"/>
      <c r="J158" s="175"/>
      <c r="K158" s="175"/>
      <c r="L158" s="175"/>
      <c r="M158" s="175"/>
      <c r="N158" s="175"/>
      <c r="O158" s="175"/>
      <c r="P158" s="175"/>
      <c r="Q158" s="6"/>
      <c r="R158" s="33">
        <f t="shared" si="4"/>
        <v>2022</v>
      </c>
      <c r="S158" s="33"/>
    </row>
    <row r="159" spans="1:19" ht="14.5" x14ac:dyDescent="0.35">
      <c r="A159" s="7" t="s">
        <v>1007</v>
      </c>
      <c r="B159" s="7" t="s">
        <v>598</v>
      </c>
      <c r="C159" s="7" t="s">
        <v>48</v>
      </c>
      <c r="D159" s="7" t="s">
        <v>1693</v>
      </c>
      <c r="E159" s="7" t="s">
        <v>1419</v>
      </c>
      <c r="F159" s="8" t="s">
        <v>247</v>
      </c>
      <c r="G159" s="60">
        <v>48452</v>
      </c>
      <c r="H159" s="6" t="s">
        <v>1475</v>
      </c>
      <c r="I159" s="6" t="s">
        <v>27</v>
      </c>
      <c r="J159" s="6" t="s">
        <v>27</v>
      </c>
      <c r="K159" s="6" t="s">
        <v>27</v>
      </c>
      <c r="L159" s="6" t="s">
        <v>27</v>
      </c>
      <c r="M159" s="6" t="s">
        <v>27</v>
      </c>
      <c r="N159" s="6" t="s">
        <v>27</v>
      </c>
      <c r="O159" s="6" t="s">
        <v>27</v>
      </c>
      <c r="P159" s="6" t="s">
        <v>27</v>
      </c>
      <c r="Q159" s="6"/>
      <c r="R159" s="33">
        <f t="shared" si="4"/>
        <v>2022</v>
      </c>
      <c r="S159" s="33"/>
    </row>
    <row r="160" spans="1:19" ht="14.5" x14ac:dyDescent="0.35">
      <c r="A160" s="7" t="s">
        <v>1733</v>
      </c>
      <c r="B160" s="7" t="s">
        <v>540</v>
      </c>
      <c r="C160" s="7" t="s">
        <v>61</v>
      </c>
      <c r="D160" s="7" t="s">
        <v>1735</v>
      </c>
      <c r="E160" s="7" t="s">
        <v>1736</v>
      </c>
      <c r="F160" s="8" t="s">
        <v>25</v>
      </c>
      <c r="G160" s="60">
        <v>20000</v>
      </c>
      <c r="H160" s="6" t="s">
        <v>1475</v>
      </c>
      <c r="I160" s="6" t="s">
        <v>27</v>
      </c>
      <c r="J160" s="6" t="s">
        <v>27</v>
      </c>
      <c r="K160" s="6" t="s">
        <v>27</v>
      </c>
      <c r="L160" s="6" t="s">
        <v>27</v>
      </c>
      <c r="M160" s="6" t="s">
        <v>27</v>
      </c>
      <c r="N160" s="6" t="s">
        <v>27</v>
      </c>
      <c r="O160" s="6" t="s">
        <v>27</v>
      </c>
      <c r="P160" s="6" t="s">
        <v>27</v>
      </c>
      <c r="Q160" s="6"/>
      <c r="R160" s="33">
        <f t="shared" si="4"/>
        <v>2022</v>
      </c>
      <c r="S160" s="33"/>
    </row>
    <row r="161" spans="1:19" ht="14.5" x14ac:dyDescent="0.35">
      <c r="A161" s="7" t="s">
        <v>1733</v>
      </c>
      <c r="B161" s="7" t="s">
        <v>540</v>
      </c>
      <c r="C161" s="7" t="s">
        <v>61</v>
      </c>
      <c r="D161" s="7" t="s">
        <v>1735</v>
      </c>
      <c r="E161" s="7" t="s">
        <v>1736</v>
      </c>
      <c r="F161" s="8" t="s">
        <v>53</v>
      </c>
      <c r="G161" s="60">
        <v>400000</v>
      </c>
      <c r="H161" s="6" t="s">
        <v>1475</v>
      </c>
      <c r="I161" s="6" t="s">
        <v>27</v>
      </c>
      <c r="J161" s="6" t="s">
        <v>27</v>
      </c>
      <c r="K161" s="6" t="s">
        <v>27</v>
      </c>
      <c r="L161" s="6" t="s">
        <v>27</v>
      </c>
      <c r="M161" s="6" t="s">
        <v>27</v>
      </c>
      <c r="N161" s="6" t="s">
        <v>27</v>
      </c>
      <c r="O161" s="6" t="s">
        <v>27</v>
      </c>
      <c r="P161" s="6" t="s">
        <v>27</v>
      </c>
      <c r="Q161" s="6"/>
      <c r="R161" s="33">
        <f t="shared" si="4"/>
        <v>2022</v>
      </c>
      <c r="S161" s="33"/>
    </row>
    <row r="162" spans="1:19" ht="14.5" x14ac:dyDescent="0.35">
      <c r="A162" s="7" t="s">
        <v>524</v>
      </c>
      <c r="B162" s="7" t="s">
        <v>525</v>
      </c>
      <c r="C162" s="7" t="s">
        <v>48</v>
      </c>
      <c r="D162" s="7" t="s">
        <v>1737</v>
      </c>
      <c r="E162" s="7" t="s">
        <v>1738</v>
      </c>
      <c r="F162" s="8" t="s">
        <v>25</v>
      </c>
      <c r="G162" s="60">
        <v>387000</v>
      </c>
      <c r="H162" s="6" t="s">
        <v>749</v>
      </c>
      <c r="I162" s="175"/>
      <c r="J162" s="175"/>
      <c r="K162" s="175"/>
      <c r="L162" s="175"/>
      <c r="M162" s="175"/>
      <c r="N162" s="175"/>
      <c r="O162" s="175"/>
      <c r="P162" s="175"/>
      <c r="Q162" s="6"/>
      <c r="R162" s="33">
        <f t="shared" si="4"/>
        <v>2022</v>
      </c>
      <c r="S162" s="33"/>
    </row>
    <row r="163" spans="1:19" ht="14.5" x14ac:dyDescent="0.35">
      <c r="A163" s="7" t="s">
        <v>524</v>
      </c>
      <c r="B163" s="7" t="s">
        <v>525</v>
      </c>
      <c r="C163" s="7" t="s">
        <v>48</v>
      </c>
      <c r="D163" s="7" t="s">
        <v>1665</v>
      </c>
      <c r="E163" s="7" t="s">
        <v>1666</v>
      </c>
      <c r="F163" s="8" t="s">
        <v>25</v>
      </c>
      <c r="G163" s="60">
        <v>22000</v>
      </c>
      <c r="H163" s="6" t="s">
        <v>749</v>
      </c>
      <c r="I163" s="175"/>
      <c r="J163" s="175"/>
      <c r="K163" s="175"/>
      <c r="L163" s="175"/>
      <c r="M163" s="175"/>
      <c r="N163" s="175"/>
      <c r="O163" s="175"/>
      <c r="P163" s="175"/>
      <c r="Q163" s="6"/>
      <c r="R163" s="33">
        <f t="shared" si="4"/>
        <v>2022</v>
      </c>
      <c r="S163" s="33"/>
    </row>
    <row r="164" spans="1:19" ht="14.5" x14ac:dyDescent="0.35">
      <c r="A164" s="7" t="s">
        <v>1725</v>
      </c>
      <c r="B164" s="7" t="s">
        <v>552</v>
      </c>
      <c r="C164" s="7" t="s">
        <v>23</v>
      </c>
      <c r="D164" s="7" t="s">
        <v>1739</v>
      </c>
      <c r="E164" s="7" t="s">
        <v>1731</v>
      </c>
      <c r="F164" s="8" t="s">
        <v>25</v>
      </c>
      <c r="G164" s="60">
        <v>850000</v>
      </c>
      <c r="H164" s="6" t="s">
        <v>1680</v>
      </c>
      <c r="I164" s="6" t="s">
        <v>27</v>
      </c>
      <c r="J164" s="6" t="s">
        <v>27</v>
      </c>
      <c r="K164" s="6" t="s">
        <v>27</v>
      </c>
      <c r="L164" s="6" t="s">
        <v>27</v>
      </c>
      <c r="M164" s="6" t="s">
        <v>27</v>
      </c>
      <c r="N164" s="6" t="s">
        <v>27</v>
      </c>
      <c r="O164" s="6" t="s">
        <v>27</v>
      </c>
      <c r="P164" s="6" t="s">
        <v>27</v>
      </c>
      <c r="Q164" s="6"/>
      <c r="R164" s="33">
        <f t="shared" si="4"/>
        <v>2022</v>
      </c>
      <c r="S164" s="36"/>
    </row>
    <row r="165" spans="1:19" ht="14.5" x14ac:dyDescent="0.35">
      <c r="A165" s="7" t="s">
        <v>524</v>
      </c>
      <c r="B165" s="7" t="s">
        <v>525</v>
      </c>
      <c r="C165" s="7" t="s">
        <v>48</v>
      </c>
      <c r="D165" s="7" t="s">
        <v>1740</v>
      </c>
      <c r="E165" s="7" t="s">
        <v>1405</v>
      </c>
      <c r="F165" s="8" t="s">
        <v>25</v>
      </c>
      <c r="G165" s="60">
        <v>25000</v>
      </c>
      <c r="H165" s="6" t="s">
        <v>1475</v>
      </c>
      <c r="I165" s="6" t="s">
        <v>27</v>
      </c>
      <c r="J165" s="6" t="s">
        <v>27</v>
      </c>
      <c r="K165" s="6" t="s">
        <v>27</v>
      </c>
      <c r="L165" s="6" t="s">
        <v>27</v>
      </c>
      <c r="M165" s="6" t="s">
        <v>27</v>
      </c>
      <c r="N165" s="6" t="s">
        <v>27</v>
      </c>
      <c r="O165" s="6" t="s">
        <v>27</v>
      </c>
      <c r="P165" s="6" t="s">
        <v>27</v>
      </c>
      <c r="Q165" s="6"/>
      <c r="R165" s="33">
        <f t="shared" si="4"/>
        <v>2022</v>
      </c>
      <c r="S165" s="33"/>
    </row>
    <row r="166" spans="1:19" ht="14.5" x14ac:dyDescent="0.35">
      <c r="A166" s="7" t="s">
        <v>522</v>
      </c>
      <c r="B166" s="7" t="s">
        <v>523</v>
      </c>
      <c r="C166" s="7" t="s">
        <v>48</v>
      </c>
      <c r="D166" s="7" t="s">
        <v>1625</v>
      </c>
      <c r="E166" s="7" t="s">
        <v>1738</v>
      </c>
      <c r="F166" s="8" t="s">
        <v>44</v>
      </c>
      <c r="G166" s="60">
        <v>10000</v>
      </c>
      <c r="H166" s="6" t="s">
        <v>1475</v>
      </c>
      <c r="I166" s="6" t="s">
        <v>27</v>
      </c>
      <c r="J166" s="6" t="s">
        <v>27</v>
      </c>
      <c r="K166" s="6" t="s">
        <v>27</v>
      </c>
      <c r="L166" s="6" t="s">
        <v>27</v>
      </c>
      <c r="M166" s="6" t="s">
        <v>27</v>
      </c>
      <c r="N166" s="6" t="s">
        <v>27</v>
      </c>
      <c r="O166" s="6" t="s">
        <v>27</v>
      </c>
      <c r="P166" s="6" t="s">
        <v>27</v>
      </c>
      <c r="Q166" s="6"/>
      <c r="R166" s="33">
        <f t="shared" si="4"/>
        <v>2022</v>
      </c>
      <c r="S166" s="33"/>
    </row>
    <row r="167" spans="1:19" ht="14.5" x14ac:dyDescent="0.35">
      <c r="A167" s="7" t="s">
        <v>520</v>
      </c>
      <c r="B167" s="7" t="s">
        <v>1741</v>
      </c>
      <c r="C167" s="7" t="s">
        <v>48</v>
      </c>
      <c r="D167" s="7" t="s">
        <v>1665</v>
      </c>
      <c r="E167" s="7" t="s">
        <v>1666</v>
      </c>
      <c r="F167" s="8" t="s">
        <v>25</v>
      </c>
      <c r="G167" s="60">
        <v>25000</v>
      </c>
      <c r="H167" s="6" t="s">
        <v>1475</v>
      </c>
      <c r="I167" s="6" t="s">
        <v>27</v>
      </c>
      <c r="J167" s="6" t="s">
        <v>27</v>
      </c>
      <c r="K167" s="6" t="s">
        <v>27</v>
      </c>
      <c r="L167" s="6" t="s">
        <v>27</v>
      </c>
      <c r="M167" s="6" t="s">
        <v>27</v>
      </c>
      <c r="N167" s="6" t="s">
        <v>27</v>
      </c>
      <c r="O167" s="6" t="s">
        <v>27</v>
      </c>
      <c r="P167" s="6" t="s">
        <v>27</v>
      </c>
      <c r="Q167" s="6"/>
      <c r="R167" s="33">
        <f t="shared" si="4"/>
        <v>2022</v>
      </c>
      <c r="S167" s="33"/>
    </row>
    <row r="168" spans="1:19" ht="14.5" x14ac:dyDescent="0.35">
      <c r="A168" s="7" t="s">
        <v>520</v>
      </c>
      <c r="B168" s="7" t="s">
        <v>1741</v>
      </c>
      <c r="C168" s="7" t="s">
        <v>48</v>
      </c>
      <c r="D168" s="7" t="s">
        <v>1497</v>
      </c>
      <c r="E168" s="7" t="s">
        <v>1742</v>
      </c>
      <c r="F168" s="8" t="s">
        <v>44</v>
      </c>
      <c r="G168" s="60">
        <v>80000</v>
      </c>
      <c r="H168" s="6" t="s">
        <v>1475</v>
      </c>
      <c r="I168" s="6" t="s">
        <v>27</v>
      </c>
      <c r="J168" s="6" t="s">
        <v>27</v>
      </c>
      <c r="K168" s="6" t="s">
        <v>27</v>
      </c>
      <c r="L168" s="6" t="s">
        <v>27</v>
      </c>
      <c r="M168" s="6" t="s">
        <v>27</v>
      </c>
      <c r="N168" s="6" t="s">
        <v>27</v>
      </c>
      <c r="O168" s="6" t="s">
        <v>27</v>
      </c>
      <c r="P168" s="6" t="s">
        <v>27</v>
      </c>
      <c r="Q168" s="6"/>
      <c r="R168" s="33">
        <f t="shared" si="4"/>
        <v>2022</v>
      </c>
      <c r="S168" s="33"/>
    </row>
    <row r="169" spans="1:19" ht="14.5" x14ac:dyDescent="0.35">
      <c r="A169" s="7" t="s">
        <v>518</v>
      </c>
      <c r="B169" s="7" t="s">
        <v>519</v>
      </c>
      <c r="C169" s="7" t="s">
        <v>48</v>
      </c>
      <c r="D169" s="7" t="s">
        <v>1640</v>
      </c>
      <c r="E169" s="7" t="s">
        <v>1666</v>
      </c>
      <c r="F169" s="8" t="s">
        <v>25</v>
      </c>
      <c r="G169" s="60">
        <v>54000</v>
      </c>
      <c r="H169" s="6" t="s">
        <v>1475</v>
      </c>
      <c r="I169" s="6" t="s">
        <v>27</v>
      </c>
      <c r="J169" s="6" t="s">
        <v>27</v>
      </c>
      <c r="K169" s="6" t="s">
        <v>27</v>
      </c>
      <c r="L169" s="6" t="s">
        <v>27</v>
      </c>
      <c r="M169" s="6" t="s">
        <v>27</v>
      </c>
      <c r="N169" s="6" t="s">
        <v>27</v>
      </c>
      <c r="O169" s="6" t="s">
        <v>27</v>
      </c>
      <c r="P169" s="6" t="s">
        <v>27</v>
      </c>
      <c r="Q169" s="6"/>
      <c r="R169" s="33">
        <f t="shared" si="4"/>
        <v>2022</v>
      </c>
      <c r="S169" s="33"/>
    </row>
    <row r="170" spans="1:19" ht="14.5" x14ac:dyDescent="0.35">
      <c r="A170" s="7" t="s">
        <v>1725</v>
      </c>
      <c r="B170" s="7" t="s">
        <v>552</v>
      </c>
      <c r="C170" s="7" t="s">
        <v>23</v>
      </c>
      <c r="D170" s="7" t="s">
        <v>1739</v>
      </c>
      <c r="E170" s="7" t="s">
        <v>1731</v>
      </c>
      <c r="F170" s="8" t="s">
        <v>25</v>
      </c>
      <c r="G170" s="60">
        <v>1200</v>
      </c>
      <c r="H170" s="6" t="s">
        <v>1680</v>
      </c>
      <c r="I170" s="6" t="s">
        <v>27</v>
      </c>
      <c r="J170" s="6" t="s">
        <v>27</v>
      </c>
      <c r="K170" s="6" t="s">
        <v>27</v>
      </c>
      <c r="L170" s="6" t="s">
        <v>27</v>
      </c>
      <c r="M170" s="6" t="s">
        <v>27</v>
      </c>
      <c r="N170" s="6" t="s">
        <v>27</v>
      </c>
      <c r="O170" s="6" t="s">
        <v>27</v>
      </c>
      <c r="P170" s="6" t="s">
        <v>27</v>
      </c>
      <c r="Q170" s="6"/>
      <c r="R170" s="33">
        <f t="shared" si="4"/>
        <v>2022</v>
      </c>
      <c r="S170" s="36"/>
    </row>
    <row r="171" spans="1:19" ht="14.5" x14ac:dyDescent="0.35">
      <c r="A171" s="7" t="s">
        <v>518</v>
      </c>
      <c r="B171" s="7" t="s">
        <v>519</v>
      </c>
      <c r="C171" s="7" t="s">
        <v>48</v>
      </c>
      <c r="D171" s="7" t="s">
        <v>1640</v>
      </c>
      <c r="E171" s="7" t="s">
        <v>1666</v>
      </c>
      <c r="F171" s="8" t="s">
        <v>25</v>
      </c>
      <c r="G171" s="60">
        <v>3600</v>
      </c>
      <c r="H171" s="6" t="s">
        <v>1475</v>
      </c>
      <c r="I171" s="6" t="s">
        <v>27</v>
      </c>
      <c r="J171" s="6" t="s">
        <v>27</v>
      </c>
      <c r="K171" s="6" t="s">
        <v>27</v>
      </c>
      <c r="L171" s="6" t="s">
        <v>27</v>
      </c>
      <c r="M171" s="6" t="s">
        <v>27</v>
      </c>
      <c r="N171" s="6" t="s">
        <v>27</v>
      </c>
      <c r="O171" s="6" t="s">
        <v>27</v>
      </c>
      <c r="P171" s="6" t="s">
        <v>27</v>
      </c>
      <c r="Q171" s="6"/>
      <c r="R171" s="33">
        <f t="shared" si="4"/>
        <v>2022</v>
      </c>
      <c r="S171" s="33"/>
    </row>
    <row r="172" spans="1:19" ht="14.5" x14ac:dyDescent="0.35">
      <c r="A172" s="7" t="s">
        <v>495</v>
      </c>
      <c r="B172" s="7" t="s">
        <v>496</v>
      </c>
      <c r="C172" s="7" t="s">
        <v>37</v>
      </c>
      <c r="D172" s="7" t="s">
        <v>1743</v>
      </c>
      <c r="E172" s="7" t="s">
        <v>916</v>
      </c>
      <c r="F172" s="8" t="s">
        <v>25</v>
      </c>
      <c r="G172" s="60">
        <v>198050</v>
      </c>
      <c r="H172" s="6" t="s">
        <v>1475</v>
      </c>
      <c r="I172" s="6" t="s">
        <v>27</v>
      </c>
      <c r="J172" s="6" t="s">
        <v>27</v>
      </c>
      <c r="K172" s="6" t="s">
        <v>27</v>
      </c>
      <c r="L172" s="6" t="s">
        <v>27</v>
      </c>
      <c r="M172" s="6" t="s">
        <v>27</v>
      </c>
      <c r="N172" s="6" t="s">
        <v>27</v>
      </c>
      <c r="O172" s="6" t="s">
        <v>27</v>
      </c>
      <c r="P172" s="6" t="s">
        <v>27</v>
      </c>
      <c r="Q172" s="6"/>
      <c r="R172" s="33">
        <f t="shared" si="4"/>
        <v>2023</v>
      </c>
      <c r="S172" s="33"/>
    </row>
    <row r="173" spans="1:19" ht="14.5" x14ac:dyDescent="0.35">
      <c r="A173" s="7" t="s">
        <v>423</v>
      </c>
      <c r="B173" s="7" t="s">
        <v>424</v>
      </c>
      <c r="C173" s="7" t="s">
        <v>48</v>
      </c>
      <c r="D173" s="7" t="s">
        <v>1667</v>
      </c>
      <c r="E173" s="7" t="s">
        <v>1669</v>
      </c>
      <c r="F173" s="8" t="s">
        <v>247</v>
      </c>
      <c r="G173" s="60">
        <v>38504</v>
      </c>
      <c r="H173" s="6" t="s">
        <v>1475</v>
      </c>
      <c r="I173" s="6" t="s">
        <v>27</v>
      </c>
      <c r="J173" s="6" t="s">
        <v>27</v>
      </c>
      <c r="K173" s="6" t="s">
        <v>27</v>
      </c>
      <c r="L173" s="6" t="s">
        <v>27</v>
      </c>
      <c r="M173" s="6" t="s">
        <v>27</v>
      </c>
      <c r="N173" s="6" t="s">
        <v>27</v>
      </c>
      <c r="O173" s="6" t="s">
        <v>27</v>
      </c>
      <c r="P173" s="6" t="s">
        <v>27</v>
      </c>
      <c r="Q173" s="6"/>
      <c r="R173" s="33">
        <f t="shared" si="4"/>
        <v>2023</v>
      </c>
      <c r="S173" s="33"/>
    </row>
    <row r="174" spans="1:19" ht="14.5" x14ac:dyDescent="0.35">
      <c r="A174" s="7" t="s">
        <v>1744</v>
      </c>
      <c r="B174" s="7" t="s">
        <v>492</v>
      </c>
      <c r="C174" s="7" t="s">
        <v>61</v>
      </c>
      <c r="D174" s="7" t="s">
        <v>1497</v>
      </c>
      <c r="E174" s="7" t="s">
        <v>1719</v>
      </c>
      <c r="F174" s="8" t="s">
        <v>247</v>
      </c>
      <c r="G174" s="60">
        <v>902</v>
      </c>
      <c r="H174" s="6" t="s">
        <v>1475</v>
      </c>
      <c r="I174" s="6" t="s">
        <v>27</v>
      </c>
      <c r="J174" s="6" t="s">
        <v>27</v>
      </c>
      <c r="K174" s="6" t="s">
        <v>27</v>
      </c>
      <c r="L174" s="6" t="s">
        <v>27</v>
      </c>
      <c r="M174" s="6" t="s">
        <v>27</v>
      </c>
      <c r="N174" s="6" t="s">
        <v>27</v>
      </c>
      <c r="O174" s="6" t="s">
        <v>27</v>
      </c>
      <c r="P174" s="6" t="s">
        <v>27</v>
      </c>
      <c r="Q174" s="6"/>
      <c r="R174" s="33">
        <f t="shared" si="4"/>
        <v>2023</v>
      </c>
      <c r="S174" s="33"/>
    </row>
    <row r="175" spans="1:19" ht="14.5" x14ac:dyDescent="0.35">
      <c r="A175" s="7" t="s">
        <v>429</v>
      </c>
      <c r="B175" s="7" t="s">
        <v>430</v>
      </c>
      <c r="C175" s="7" t="s">
        <v>48</v>
      </c>
      <c r="D175" s="7" t="s">
        <v>1497</v>
      </c>
      <c r="E175" s="7" t="s">
        <v>1745</v>
      </c>
      <c r="F175" s="8" t="s">
        <v>53</v>
      </c>
      <c r="G175" s="60">
        <v>196521.22</v>
      </c>
      <c r="H175" s="6" t="s">
        <v>1475</v>
      </c>
      <c r="I175" s="6" t="s">
        <v>27</v>
      </c>
      <c r="J175" s="6" t="s">
        <v>27</v>
      </c>
      <c r="K175" s="6" t="s">
        <v>27</v>
      </c>
      <c r="L175" s="6" t="s">
        <v>27</v>
      </c>
      <c r="M175" s="6" t="s">
        <v>27</v>
      </c>
      <c r="N175" s="6" t="s">
        <v>27</v>
      </c>
      <c r="O175" s="6" t="s">
        <v>27</v>
      </c>
      <c r="P175" s="6" t="s">
        <v>27</v>
      </c>
      <c r="Q175" s="6"/>
      <c r="R175" s="33">
        <f t="shared" si="4"/>
        <v>2023</v>
      </c>
      <c r="S175" s="33"/>
    </row>
    <row r="176" spans="1:19" ht="14.5" x14ac:dyDescent="0.35">
      <c r="A176" s="7" t="s">
        <v>1085</v>
      </c>
      <c r="B176" s="7" t="s">
        <v>502</v>
      </c>
      <c r="C176" s="7" t="s">
        <v>48</v>
      </c>
      <c r="D176" s="7" t="s">
        <v>1497</v>
      </c>
      <c r="E176" s="7" t="s">
        <v>1719</v>
      </c>
      <c r="F176" s="8" t="s">
        <v>25</v>
      </c>
      <c r="G176" s="60">
        <v>50000</v>
      </c>
      <c r="H176" s="6" t="s">
        <v>1475</v>
      </c>
      <c r="I176" s="6" t="s">
        <v>27</v>
      </c>
      <c r="J176" s="6" t="s">
        <v>27</v>
      </c>
      <c r="K176" s="6" t="s">
        <v>27</v>
      </c>
      <c r="L176" s="6" t="s">
        <v>27</v>
      </c>
      <c r="M176" s="6" t="s">
        <v>27</v>
      </c>
      <c r="N176" s="6" t="s">
        <v>27</v>
      </c>
      <c r="O176" s="6" t="s">
        <v>27</v>
      </c>
      <c r="P176" s="6" t="s">
        <v>27</v>
      </c>
      <c r="Q176" s="6"/>
      <c r="R176" s="33">
        <f t="shared" si="4"/>
        <v>2023</v>
      </c>
      <c r="S176" s="33"/>
    </row>
    <row r="177" spans="1:19" ht="14.5" x14ac:dyDescent="0.35">
      <c r="A177" s="7" t="s">
        <v>1090</v>
      </c>
      <c r="B177" s="7" t="s">
        <v>494</v>
      </c>
      <c r="C177" s="7" t="s">
        <v>61</v>
      </c>
      <c r="D177" s="7" t="s">
        <v>1505</v>
      </c>
      <c r="E177" s="7" t="s">
        <v>1746</v>
      </c>
      <c r="F177" s="8" t="s">
        <v>25</v>
      </c>
      <c r="G177" s="60">
        <v>71500</v>
      </c>
      <c r="H177" s="6" t="s">
        <v>1475</v>
      </c>
      <c r="I177" s="6" t="s">
        <v>27</v>
      </c>
      <c r="J177" s="6" t="s">
        <v>27</v>
      </c>
      <c r="K177" s="6" t="s">
        <v>27</v>
      </c>
      <c r="L177" s="6" t="s">
        <v>27</v>
      </c>
      <c r="M177" s="6" t="s">
        <v>27</v>
      </c>
      <c r="N177" s="6" t="s">
        <v>27</v>
      </c>
      <c r="O177" s="6" t="s">
        <v>27</v>
      </c>
      <c r="P177" s="6" t="s">
        <v>27</v>
      </c>
      <c r="Q177" s="6"/>
      <c r="R177" s="33">
        <f t="shared" si="4"/>
        <v>2023</v>
      </c>
      <c r="S177" s="33"/>
    </row>
    <row r="178" spans="1:19" ht="14.5" x14ac:dyDescent="0.35">
      <c r="A178" s="7" t="s">
        <v>1090</v>
      </c>
      <c r="B178" s="7" t="s">
        <v>494</v>
      </c>
      <c r="C178" s="7" t="s">
        <v>61</v>
      </c>
      <c r="D178" s="7" t="s">
        <v>1505</v>
      </c>
      <c r="E178" s="7" t="s">
        <v>1746</v>
      </c>
      <c r="F178" s="8" t="s">
        <v>44</v>
      </c>
      <c r="G178" s="60">
        <v>51000</v>
      </c>
      <c r="H178" s="6" t="s">
        <v>749</v>
      </c>
      <c r="I178" s="175"/>
      <c r="J178" s="175"/>
      <c r="K178" s="175"/>
      <c r="L178" s="175"/>
      <c r="M178" s="175"/>
      <c r="N178" s="175"/>
      <c r="O178" s="175"/>
      <c r="P178" s="175"/>
      <c r="Q178" s="6"/>
      <c r="R178" s="33">
        <f t="shared" si="4"/>
        <v>2023</v>
      </c>
      <c r="S178" s="33"/>
    </row>
    <row r="179" spans="1:19" ht="14.5" x14ac:dyDescent="0.35">
      <c r="A179" s="7" t="s">
        <v>1090</v>
      </c>
      <c r="B179" s="7" t="s">
        <v>494</v>
      </c>
      <c r="C179" s="7" t="s">
        <v>61</v>
      </c>
      <c r="D179" s="7" t="s">
        <v>1747</v>
      </c>
      <c r="E179" s="7" t="s">
        <v>1748</v>
      </c>
      <c r="F179" s="8" t="s">
        <v>53</v>
      </c>
      <c r="G179" s="60">
        <v>65400</v>
      </c>
      <c r="H179" s="6" t="s">
        <v>1475</v>
      </c>
      <c r="I179" s="6" t="s">
        <v>27</v>
      </c>
      <c r="J179" s="6" t="s">
        <v>27</v>
      </c>
      <c r="K179" s="6" t="s">
        <v>27</v>
      </c>
      <c r="L179" s="6" t="s">
        <v>27</v>
      </c>
      <c r="M179" s="6" t="s">
        <v>27</v>
      </c>
      <c r="N179" s="6" t="s">
        <v>27</v>
      </c>
      <c r="O179" s="6" t="s">
        <v>27</v>
      </c>
      <c r="P179" s="6" t="s">
        <v>27</v>
      </c>
      <c r="Q179" s="6"/>
      <c r="R179" s="33">
        <f t="shared" si="4"/>
        <v>2023</v>
      </c>
      <c r="S179" s="33"/>
    </row>
    <row r="180" spans="1:19" ht="14.5" x14ac:dyDescent="0.35">
      <c r="A180" s="7" t="s">
        <v>1090</v>
      </c>
      <c r="B180" s="7" t="s">
        <v>494</v>
      </c>
      <c r="C180" s="7" t="s">
        <v>61</v>
      </c>
      <c r="D180" s="7" t="s">
        <v>1749</v>
      </c>
      <c r="E180" s="7" t="s">
        <v>1750</v>
      </c>
      <c r="F180" s="8" t="s">
        <v>44</v>
      </c>
      <c r="G180" s="60">
        <v>95000</v>
      </c>
      <c r="H180" s="6" t="s">
        <v>1475</v>
      </c>
      <c r="I180" s="6" t="s">
        <v>27</v>
      </c>
      <c r="J180" s="6" t="s">
        <v>27</v>
      </c>
      <c r="K180" s="6" t="s">
        <v>27</v>
      </c>
      <c r="L180" s="6" t="s">
        <v>27</v>
      </c>
      <c r="M180" s="6" t="s">
        <v>27</v>
      </c>
      <c r="N180" s="6" t="s">
        <v>27</v>
      </c>
      <c r="O180" s="6" t="s">
        <v>27</v>
      </c>
      <c r="P180" s="6" t="s">
        <v>27</v>
      </c>
      <c r="Q180" s="6"/>
      <c r="R180" s="33">
        <f t="shared" si="4"/>
        <v>2023</v>
      </c>
      <c r="S180" s="33"/>
    </row>
    <row r="181" spans="1:19" ht="14.5" x14ac:dyDescent="0.35">
      <c r="A181" s="7" t="s">
        <v>1090</v>
      </c>
      <c r="B181" s="7" t="s">
        <v>494</v>
      </c>
      <c r="C181" s="7" t="s">
        <v>61</v>
      </c>
      <c r="D181" s="7" t="s">
        <v>1747</v>
      </c>
      <c r="E181" s="7" t="s">
        <v>1751</v>
      </c>
      <c r="F181" s="8" t="s">
        <v>247</v>
      </c>
      <c r="G181" s="60">
        <v>57002</v>
      </c>
      <c r="H181" s="6" t="s">
        <v>1475</v>
      </c>
      <c r="I181" s="6" t="s">
        <v>27</v>
      </c>
      <c r="J181" s="6" t="s">
        <v>27</v>
      </c>
      <c r="K181" s="6" t="s">
        <v>27</v>
      </c>
      <c r="L181" s="6" t="s">
        <v>27</v>
      </c>
      <c r="M181" s="6" t="s">
        <v>27</v>
      </c>
      <c r="N181" s="6" t="s">
        <v>27</v>
      </c>
      <c r="O181" s="6" t="s">
        <v>27</v>
      </c>
      <c r="P181" s="6" t="s">
        <v>27</v>
      </c>
      <c r="Q181" s="6"/>
      <c r="R181" s="33">
        <f t="shared" si="4"/>
        <v>2023</v>
      </c>
      <c r="S181" s="33"/>
    </row>
    <row r="182" spans="1:19" ht="14.5" x14ac:dyDescent="0.35">
      <c r="A182" s="7" t="s">
        <v>1090</v>
      </c>
      <c r="B182" s="7" t="s">
        <v>494</v>
      </c>
      <c r="C182" s="7" t="s">
        <v>61</v>
      </c>
      <c r="D182" s="7" t="s">
        <v>1749</v>
      </c>
      <c r="E182" s="7" t="s">
        <v>1750</v>
      </c>
      <c r="F182" s="8" t="s">
        <v>25</v>
      </c>
      <c r="G182" s="60">
        <v>450000</v>
      </c>
      <c r="H182" s="6" t="s">
        <v>1475</v>
      </c>
      <c r="I182" s="6" t="s">
        <v>27</v>
      </c>
      <c r="J182" s="6" t="s">
        <v>27</v>
      </c>
      <c r="K182" s="6" t="s">
        <v>27</v>
      </c>
      <c r="L182" s="6" t="s">
        <v>27</v>
      </c>
      <c r="M182" s="6" t="s">
        <v>27</v>
      </c>
      <c r="N182" s="6" t="s">
        <v>27</v>
      </c>
      <c r="O182" s="6" t="s">
        <v>27</v>
      </c>
      <c r="P182" s="6" t="s">
        <v>27</v>
      </c>
      <c r="Q182" s="6"/>
      <c r="R182" s="33">
        <f t="shared" si="4"/>
        <v>2023</v>
      </c>
      <c r="S182" s="33"/>
    </row>
    <row r="183" spans="1:19" ht="14.5" x14ac:dyDescent="0.35">
      <c r="A183" s="7" t="s">
        <v>1090</v>
      </c>
      <c r="B183" s="7" t="s">
        <v>494</v>
      </c>
      <c r="C183" s="7" t="s">
        <v>61</v>
      </c>
      <c r="D183" s="7" t="s">
        <v>1747</v>
      </c>
      <c r="E183" s="7" t="s">
        <v>1751</v>
      </c>
      <c r="F183" s="8"/>
      <c r="G183" s="60"/>
      <c r="H183" s="6" t="s">
        <v>1475</v>
      </c>
      <c r="I183" s="6" t="s">
        <v>27</v>
      </c>
      <c r="J183" s="6" t="s">
        <v>27</v>
      </c>
      <c r="K183" s="6" t="s">
        <v>27</v>
      </c>
      <c r="L183" s="6" t="s">
        <v>27</v>
      </c>
      <c r="M183" s="6" t="s">
        <v>27</v>
      </c>
      <c r="N183" s="6" t="s">
        <v>27</v>
      </c>
      <c r="O183" s="6" t="s">
        <v>27</v>
      </c>
      <c r="P183" s="6" t="s">
        <v>27</v>
      </c>
      <c r="Q183" s="6"/>
      <c r="R183" s="33">
        <f t="shared" si="4"/>
        <v>2023</v>
      </c>
      <c r="S183" s="33"/>
    </row>
    <row r="184" spans="1:19" ht="14.5" x14ac:dyDescent="0.35">
      <c r="A184" s="7" t="s">
        <v>1752</v>
      </c>
      <c r="B184" s="7" t="s">
        <v>489</v>
      </c>
      <c r="C184" s="7" t="s">
        <v>82</v>
      </c>
      <c r="D184" s="7" t="s">
        <v>1543</v>
      </c>
      <c r="E184" s="7" t="s">
        <v>1183</v>
      </c>
      <c r="F184" s="8" t="s">
        <v>53</v>
      </c>
      <c r="G184" s="60">
        <v>250000</v>
      </c>
      <c r="H184" s="6" t="s">
        <v>1475</v>
      </c>
      <c r="I184" s="6" t="s">
        <v>27</v>
      </c>
      <c r="J184" s="6" t="s">
        <v>27</v>
      </c>
      <c r="K184" s="6" t="s">
        <v>27</v>
      </c>
      <c r="L184" s="6" t="s">
        <v>27</v>
      </c>
      <c r="M184" s="6" t="s">
        <v>27</v>
      </c>
      <c r="N184" s="6" t="s">
        <v>27</v>
      </c>
      <c r="O184" s="6" t="s">
        <v>27</v>
      </c>
      <c r="P184" s="6" t="s">
        <v>27</v>
      </c>
      <c r="Q184" s="6"/>
      <c r="R184" s="33">
        <f t="shared" si="4"/>
        <v>2023</v>
      </c>
      <c r="S184" s="33"/>
    </row>
    <row r="185" spans="1:19" ht="14.5" x14ac:dyDescent="0.35">
      <c r="A185" s="7" t="s">
        <v>1752</v>
      </c>
      <c r="B185" s="7" t="s">
        <v>489</v>
      </c>
      <c r="C185" s="7" t="s">
        <v>82</v>
      </c>
      <c r="D185" s="7" t="s">
        <v>1610</v>
      </c>
      <c r="E185" s="7" t="s">
        <v>1727</v>
      </c>
      <c r="F185" s="8" t="s">
        <v>53</v>
      </c>
      <c r="G185" s="60">
        <v>5500</v>
      </c>
      <c r="H185" s="6" t="s">
        <v>1475</v>
      </c>
      <c r="I185" s="6" t="s">
        <v>27</v>
      </c>
      <c r="J185" s="6" t="s">
        <v>27</v>
      </c>
      <c r="K185" s="6" t="s">
        <v>27</v>
      </c>
      <c r="L185" s="6" t="s">
        <v>27</v>
      </c>
      <c r="M185" s="6" t="s">
        <v>27</v>
      </c>
      <c r="N185" s="6" t="s">
        <v>27</v>
      </c>
      <c r="O185" s="6" t="s">
        <v>27</v>
      </c>
      <c r="P185" s="6" t="s">
        <v>27</v>
      </c>
      <c r="Q185" s="6"/>
      <c r="R185" s="33">
        <f t="shared" si="4"/>
        <v>2023</v>
      </c>
      <c r="S185" s="33"/>
    </row>
    <row r="186" spans="1:19" ht="14.5" x14ac:dyDescent="0.35">
      <c r="A186" s="7" t="s">
        <v>1753</v>
      </c>
      <c r="B186" s="7" t="s">
        <v>477</v>
      </c>
      <c r="C186" s="7" t="s">
        <v>23</v>
      </c>
      <c r="D186" s="7" t="s">
        <v>1635</v>
      </c>
      <c r="E186" s="7" t="s">
        <v>1727</v>
      </c>
      <c r="F186" s="8" t="s">
        <v>44</v>
      </c>
      <c r="G186" s="60">
        <v>40000</v>
      </c>
      <c r="H186" s="6" t="s">
        <v>1475</v>
      </c>
      <c r="I186" s="6" t="s">
        <v>27</v>
      </c>
      <c r="J186" s="6" t="s">
        <v>27</v>
      </c>
      <c r="K186" s="6" t="s">
        <v>27</v>
      </c>
      <c r="L186" s="6" t="s">
        <v>27</v>
      </c>
      <c r="M186" s="6" t="s">
        <v>27</v>
      </c>
      <c r="N186" s="6" t="s">
        <v>27</v>
      </c>
      <c r="O186" s="6" t="s">
        <v>27</v>
      </c>
      <c r="P186" s="6" t="s">
        <v>27</v>
      </c>
      <c r="Q186" s="6"/>
      <c r="R186" s="33">
        <f t="shared" si="4"/>
        <v>2023</v>
      </c>
      <c r="S186" s="36"/>
    </row>
    <row r="187" spans="1:19" ht="14.5" x14ac:dyDescent="0.35">
      <c r="A187" s="7" t="s">
        <v>1754</v>
      </c>
      <c r="B187" s="7" t="s">
        <v>474</v>
      </c>
      <c r="C187" s="7" t="s">
        <v>37</v>
      </c>
      <c r="D187" s="7" t="s">
        <v>1497</v>
      </c>
      <c r="E187" s="7" t="s">
        <v>1719</v>
      </c>
      <c r="F187" s="8" t="s">
        <v>44</v>
      </c>
      <c r="G187" s="60">
        <v>211154</v>
      </c>
      <c r="H187" s="6" t="s">
        <v>1475</v>
      </c>
      <c r="I187" s="6" t="s">
        <v>27</v>
      </c>
      <c r="J187" s="6" t="s">
        <v>27</v>
      </c>
      <c r="K187" s="6" t="s">
        <v>27</v>
      </c>
      <c r="L187" s="6" t="s">
        <v>27</v>
      </c>
      <c r="M187" s="6" t="s">
        <v>27</v>
      </c>
      <c r="N187" s="6" t="s">
        <v>27</v>
      </c>
      <c r="O187" s="6" t="s">
        <v>27</v>
      </c>
      <c r="P187" s="6" t="s">
        <v>27</v>
      </c>
      <c r="Q187" s="6"/>
      <c r="R187" s="33">
        <f t="shared" si="4"/>
        <v>2023</v>
      </c>
      <c r="S187" s="33"/>
    </row>
    <row r="188" spans="1:19" ht="14.5" x14ac:dyDescent="0.35">
      <c r="A188" s="7" t="s">
        <v>1755</v>
      </c>
      <c r="B188" s="7" t="s">
        <v>415</v>
      </c>
      <c r="C188" s="7" t="s">
        <v>1756</v>
      </c>
      <c r="D188" s="7" t="s">
        <v>1584</v>
      </c>
      <c r="E188" s="7" t="s">
        <v>1183</v>
      </c>
      <c r="F188" s="8" t="s">
        <v>44</v>
      </c>
      <c r="G188" s="60">
        <v>95000</v>
      </c>
      <c r="H188" s="6" t="s">
        <v>1475</v>
      </c>
      <c r="I188" s="6" t="s">
        <v>27</v>
      </c>
      <c r="J188" s="6" t="s">
        <v>27</v>
      </c>
      <c r="K188" s="6" t="s">
        <v>27</v>
      </c>
      <c r="L188" s="6" t="s">
        <v>27</v>
      </c>
      <c r="M188" s="6" t="s">
        <v>27</v>
      </c>
      <c r="N188" s="6" t="s">
        <v>27</v>
      </c>
      <c r="O188" s="6" t="s">
        <v>27</v>
      </c>
      <c r="P188" s="6" t="s">
        <v>27</v>
      </c>
      <c r="Q188" s="6"/>
      <c r="R188" s="33">
        <f t="shared" si="4"/>
        <v>2023</v>
      </c>
      <c r="S188" s="33"/>
    </row>
    <row r="189" spans="1:19" ht="14.5" x14ac:dyDescent="0.35">
      <c r="A189" s="7" t="s">
        <v>1755</v>
      </c>
      <c r="B189" s="7" t="s">
        <v>415</v>
      </c>
      <c r="C189" s="7" t="s">
        <v>1756</v>
      </c>
      <c r="D189" s="7" t="s">
        <v>1635</v>
      </c>
      <c r="E189" s="7" t="s">
        <v>1727</v>
      </c>
      <c r="F189" s="8" t="s">
        <v>247</v>
      </c>
      <c r="G189" s="60">
        <v>38502</v>
      </c>
      <c r="H189" s="6" t="s">
        <v>1475</v>
      </c>
      <c r="I189" s="6" t="s">
        <v>27</v>
      </c>
      <c r="J189" s="6" t="s">
        <v>27</v>
      </c>
      <c r="K189" s="6" t="s">
        <v>27</v>
      </c>
      <c r="L189" s="6" t="s">
        <v>27</v>
      </c>
      <c r="M189" s="6" t="s">
        <v>27</v>
      </c>
      <c r="N189" s="6" t="s">
        <v>27</v>
      </c>
      <c r="O189" s="6" t="s">
        <v>27</v>
      </c>
      <c r="P189" s="6" t="s">
        <v>27</v>
      </c>
      <c r="Q189" s="6"/>
      <c r="R189" s="33">
        <f t="shared" si="4"/>
        <v>2023</v>
      </c>
      <c r="S189" s="33"/>
    </row>
    <row r="190" spans="1:19" ht="14.5" x14ac:dyDescent="0.35">
      <c r="A190" s="7" t="s">
        <v>1757</v>
      </c>
      <c r="B190" s="7" t="s">
        <v>418</v>
      </c>
      <c r="C190" s="7" t="s">
        <v>37</v>
      </c>
      <c r="D190" s="7" t="s">
        <v>1758</v>
      </c>
      <c r="E190" s="7" t="s">
        <v>1183</v>
      </c>
      <c r="F190" s="8" t="s">
        <v>25</v>
      </c>
      <c r="G190" s="60">
        <v>35560</v>
      </c>
      <c r="H190" s="6" t="s">
        <v>1475</v>
      </c>
      <c r="I190" s="6" t="s">
        <v>27</v>
      </c>
      <c r="J190" s="6" t="s">
        <v>27</v>
      </c>
      <c r="K190" s="6" t="s">
        <v>27</v>
      </c>
      <c r="L190" s="6" t="s">
        <v>27</v>
      </c>
      <c r="M190" s="6" t="s">
        <v>27</v>
      </c>
      <c r="N190" s="6" t="s">
        <v>27</v>
      </c>
      <c r="O190" s="6" t="s">
        <v>27</v>
      </c>
      <c r="P190" s="6" t="s">
        <v>27</v>
      </c>
      <c r="Q190" s="6"/>
      <c r="R190" s="33">
        <f t="shared" si="4"/>
        <v>2023</v>
      </c>
      <c r="S190" s="33"/>
    </row>
    <row r="191" spans="1:19" ht="14.5" x14ac:dyDescent="0.35">
      <c r="A191" s="7" t="s">
        <v>1757</v>
      </c>
      <c r="B191" s="7" t="s">
        <v>418</v>
      </c>
      <c r="C191" s="7" t="s">
        <v>37</v>
      </c>
      <c r="D191" s="7" t="s">
        <v>1527</v>
      </c>
      <c r="E191" s="7" t="s">
        <v>1727</v>
      </c>
      <c r="F191" s="8" t="s">
        <v>25</v>
      </c>
      <c r="G191" s="60">
        <v>2000</v>
      </c>
      <c r="H191" s="6" t="s">
        <v>1475</v>
      </c>
      <c r="I191" s="6" t="s">
        <v>27</v>
      </c>
      <c r="J191" s="6" t="s">
        <v>27</v>
      </c>
      <c r="K191" s="6" t="s">
        <v>27</v>
      </c>
      <c r="L191" s="6" t="s">
        <v>27</v>
      </c>
      <c r="M191" s="6" t="s">
        <v>27</v>
      </c>
      <c r="N191" s="6" t="s">
        <v>27</v>
      </c>
      <c r="O191" s="6" t="s">
        <v>27</v>
      </c>
      <c r="P191" s="6" t="s">
        <v>27</v>
      </c>
      <c r="Q191" s="6"/>
      <c r="R191" s="33">
        <f t="shared" si="4"/>
        <v>2023</v>
      </c>
      <c r="S191" s="33"/>
    </row>
    <row r="192" spans="1:19" ht="14.5" x14ac:dyDescent="0.35">
      <c r="A192" s="7" t="s">
        <v>1755</v>
      </c>
      <c r="B192" s="7" t="s">
        <v>415</v>
      </c>
      <c r="C192" s="7" t="s">
        <v>1756</v>
      </c>
      <c r="D192" s="7" t="s">
        <v>1759</v>
      </c>
      <c r="E192" s="7" t="s">
        <v>1760</v>
      </c>
      <c r="F192" s="8" t="s">
        <v>25</v>
      </c>
      <c r="G192" s="60">
        <v>7400</v>
      </c>
      <c r="H192" s="6" t="s">
        <v>1475</v>
      </c>
      <c r="I192" s="6" t="s">
        <v>27</v>
      </c>
      <c r="J192" s="6" t="s">
        <v>27</v>
      </c>
      <c r="K192" s="6" t="s">
        <v>27</v>
      </c>
      <c r="L192" s="6" t="s">
        <v>27</v>
      </c>
      <c r="M192" s="6" t="s">
        <v>27</v>
      </c>
      <c r="N192" s="6" t="s">
        <v>27</v>
      </c>
      <c r="O192" s="6" t="s">
        <v>27</v>
      </c>
      <c r="P192" s="6" t="s">
        <v>27</v>
      </c>
      <c r="Q192" s="6"/>
      <c r="R192" s="33">
        <f t="shared" si="4"/>
        <v>2023</v>
      </c>
      <c r="S192" s="33"/>
    </row>
    <row r="193" spans="1:19" ht="14.5" x14ac:dyDescent="0.35">
      <c r="A193" s="7" t="s">
        <v>408</v>
      </c>
      <c r="B193" s="7" t="s">
        <v>409</v>
      </c>
      <c r="C193" s="7" t="s">
        <v>61</v>
      </c>
      <c r="D193" s="7" t="s">
        <v>1543</v>
      </c>
      <c r="E193" s="7" t="s">
        <v>1183</v>
      </c>
      <c r="F193" s="8" t="s">
        <v>25</v>
      </c>
      <c r="G193" s="60">
        <v>108000</v>
      </c>
      <c r="H193" s="6" t="s">
        <v>1475</v>
      </c>
      <c r="I193" s="6" t="s">
        <v>27</v>
      </c>
      <c r="J193" s="6" t="s">
        <v>27</v>
      </c>
      <c r="K193" s="6" t="s">
        <v>27</v>
      </c>
      <c r="L193" s="6" t="s">
        <v>27</v>
      </c>
      <c r="M193" s="6" t="s">
        <v>27</v>
      </c>
      <c r="N193" s="6" t="s">
        <v>27</v>
      </c>
      <c r="O193" s="6" t="s">
        <v>27</v>
      </c>
      <c r="P193" s="6" t="s">
        <v>27</v>
      </c>
      <c r="Q193" s="6"/>
      <c r="R193" s="33">
        <f t="shared" si="4"/>
        <v>2023</v>
      </c>
      <c r="S193" s="33"/>
    </row>
    <row r="194" spans="1:19" ht="14.5" x14ac:dyDescent="0.35">
      <c r="A194" s="7" t="s">
        <v>1761</v>
      </c>
      <c r="B194" s="7" t="s">
        <v>426</v>
      </c>
      <c r="C194" s="7" t="s">
        <v>37</v>
      </c>
      <c r="D194" s="7" t="s">
        <v>1762</v>
      </c>
      <c r="E194" s="7" t="s">
        <v>1763</v>
      </c>
      <c r="F194" s="8" t="s">
        <v>25</v>
      </c>
      <c r="G194" s="60">
        <v>108111.5</v>
      </c>
      <c r="H194" s="6" t="s">
        <v>1475</v>
      </c>
      <c r="I194" s="6" t="s">
        <v>27</v>
      </c>
      <c r="J194" s="6" t="s">
        <v>27</v>
      </c>
      <c r="K194" s="6" t="s">
        <v>27</v>
      </c>
      <c r="L194" s="6" t="s">
        <v>27</v>
      </c>
      <c r="M194" s="6" t="s">
        <v>27</v>
      </c>
      <c r="N194" s="6" t="s">
        <v>27</v>
      </c>
      <c r="O194" s="6" t="s">
        <v>27</v>
      </c>
      <c r="P194" s="6" t="s">
        <v>27</v>
      </c>
      <c r="Q194" s="6"/>
      <c r="R194" s="33">
        <f t="shared" si="4"/>
        <v>2023</v>
      </c>
      <c r="S194" s="33"/>
    </row>
    <row r="195" spans="1:19" ht="14.5" x14ac:dyDescent="0.35">
      <c r="A195" s="7" t="s">
        <v>1761</v>
      </c>
      <c r="B195" s="7" t="s">
        <v>426</v>
      </c>
      <c r="C195" s="7" t="s">
        <v>37</v>
      </c>
      <c r="D195" s="7" t="s">
        <v>1693</v>
      </c>
      <c r="E195" s="7" t="s">
        <v>1722</v>
      </c>
      <c r="F195" s="8" t="s">
        <v>25</v>
      </c>
      <c r="G195" s="60">
        <v>40000</v>
      </c>
      <c r="H195" s="6" t="s">
        <v>1475</v>
      </c>
      <c r="I195" s="6" t="s">
        <v>27</v>
      </c>
      <c r="J195" s="6" t="s">
        <v>27</v>
      </c>
      <c r="K195" s="6" t="s">
        <v>27</v>
      </c>
      <c r="L195" s="6" t="s">
        <v>27</v>
      </c>
      <c r="M195" s="6" t="s">
        <v>27</v>
      </c>
      <c r="N195" s="6" t="s">
        <v>27</v>
      </c>
      <c r="O195" s="6" t="s">
        <v>27</v>
      </c>
      <c r="P195" s="6" t="s">
        <v>27</v>
      </c>
      <c r="Q195" s="6"/>
      <c r="R195" s="33">
        <f t="shared" ref="R195:R246" si="5">IFERROR(2000+VALUE(LEFT(A195,2)),"")</f>
        <v>2023</v>
      </c>
      <c r="S195" s="33"/>
    </row>
    <row r="196" spans="1:19" ht="14.5" x14ac:dyDescent="0.35">
      <c r="A196" s="7" t="s">
        <v>432</v>
      </c>
      <c r="B196" s="7" t="s">
        <v>433</v>
      </c>
      <c r="C196" s="7" t="s">
        <v>48</v>
      </c>
      <c r="D196" s="7" t="s">
        <v>1667</v>
      </c>
      <c r="E196" s="7" t="s">
        <v>1669</v>
      </c>
      <c r="F196" s="8" t="s">
        <v>25</v>
      </c>
      <c r="G196" s="60">
        <v>80000</v>
      </c>
      <c r="H196" s="6" t="s">
        <v>1475</v>
      </c>
      <c r="I196" s="6" t="s">
        <v>27</v>
      </c>
      <c r="J196" s="6" t="s">
        <v>27</v>
      </c>
      <c r="K196" s="6" t="s">
        <v>27</v>
      </c>
      <c r="L196" s="6" t="s">
        <v>27</v>
      </c>
      <c r="M196" s="6" t="s">
        <v>27</v>
      </c>
      <c r="N196" s="6" t="s">
        <v>27</v>
      </c>
      <c r="O196" s="6" t="s">
        <v>27</v>
      </c>
      <c r="P196" s="6" t="s">
        <v>27</v>
      </c>
      <c r="Q196" s="6"/>
      <c r="R196" s="33">
        <f t="shared" si="5"/>
        <v>2023</v>
      </c>
      <c r="S196" s="33"/>
    </row>
    <row r="197" spans="1:19" ht="14.5" x14ac:dyDescent="0.35">
      <c r="A197" s="7" t="s">
        <v>1755</v>
      </c>
      <c r="B197" s="7" t="s">
        <v>415</v>
      </c>
      <c r="C197" s="7" t="s">
        <v>1756</v>
      </c>
      <c r="D197" s="7" t="s">
        <v>1635</v>
      </c>
      <c r="E197" s="7" t="s">
        <v>1727</v>
      </c>
      <c r="F197" s="8" t="s">
        <v>25</v>
      </c>
      <c r="G197" s="60">
        <v>37000</v>
      </c>
      <c r="H197" s="6" t="s">
        <v>1475</v>
      </c>
      <c r="I197" s="6" t="s">
        <v>27</v>
      </c>
      <c r="J197" s="6" t="s">
        <v>27</v>
      </c>
      <c r="K197" s="6" t="s">
        <v>27</v>
      </c>
      <c r="L197" s="6" t="s">
        <v>27</v>
      </c>
      <c r="M197" s="6" t="s">
        <v>27</v>
      </c>
      <c r="N197" s="6" t="s">
        <v>27</v>
      </c>
      <c r="O197" s="6" t="s">
        <v>27</v>
      </c>
      <c r="P197" s="6" t="s">
        <v>27</v>
      </c>
      <c r="Q197" s="6"/>
      <c r="R197" s="33">
        <f t="shared" si="5"/>
        <v>2023</v>
      </c>
      <c r="S197" s="33"/>
    </row>
    <row r="198" spans="1:19" ht="14.5" x14ac:dyDescent="0.35">
      <c r="A198" s="7" t="s">
        <v>1761</v>
      </c>
      <c r="B198" s="7" t="s">
        <v>426</v>
      </c>
      <c r="C198" s="7" t="s">
        <v>37</v>
      </c>
      <c r="D198" s="7" t="s">
        <v>1478</v>
      </c>
      <c r="E198" s="7" t="s">
        <v>1764</v>
      </c>
      <c r="F198" s="8" t="s">
        <v>25</v>
      </c>
      <c r="G198" s="60">
        <v>40000</v>
      </c>
      <c r="H198" s="6" t="s">
        <v>1475</v>
      </c>
      <c r="I198" s="6" t="s">
        <v>27</v>
      </c>
      <c r="J198" s="6" t="s">
        <v>27</v>
      </c>
      <c r="K198" s="6" t="s">
        <v>27</v>
      </c>
      <c r="L198" s="6" t="s">
        <v>27</v>
      </c>
      <c r="M198" s="6" t="s">
        <v>27</v>
      </c>
      <c r="N198" s="6" t="s">
        <v>27</v>
      </c>
      <c r="O198" s="6" t="s">
        <v>27</v>
      </c>
      <c r="P198" s="6" t="s">
        <v>27</v>
      </c>
      <c r="Q198" s="6"/>
      <c r="R198" s="33">
        <f t="shared" si="5"/>
        <v>2023</v>
      </c>
      <c r="S198" s="33"/>
    </row>
    <row r="199" spans="1:19" ht="14.5" x14ac:dyDescent="0.35">
      <c r="A199" s="7" t="s">
        <v>1754</v>
      </c>
      <c r="B199" s="7" t="s">
        <v>474</v>
      </c>
      <c r="C199" s="7" t="s">
        <v>61</v>
      </c>
      <c r="D199" s="7" t="s">
        <v>1667</v>
      </c>
      <c r="E199" s="7" t="s">
        <v>1669</v>
      </c>
      <c r="F199" s="8" t="s">
        <v>44</v>
      </c>
      <c r="G199" s="60">
        <v>211154</v>
      </c>
      <c r="H199" s="6" t="s">
        <v>1475</v>
      </c>
      <c r="I199" s="6" t="s">
        <v>27</v>
      </c>
      <c r="J199" s="6" t="s">
        <v>27</v>
      </c>
      <c r="K199" s="6" t="s">
        <v>27</v>
      </c>
      <c r="L199" s="6" t="s">
        <v>27</v>
      </c>
      <c r="M199" s="6" t="s">
        <v>27</v>
      </c>
      <c r="N199" s="6" t="s">
        <v>27</v>
      </c>
      <c r="O199" s="6" t="s">
        <v>27</v>
      </c>
      <c r="P199" s="6" t="s">
        <v>27</v>
      </c>
      <c r="Q199" s="6"/>
      <c r="R199" s="33">
        <f t="shared" si="5"/>
        <v>2023</v>
      </c>
      <c r="S199" s="33"/>
    </row>
    <row r="200" spans="1:19" ht="14.5" x14ac:dyDescent="0.35">
      <c r="A200" s="7" t="s">
        <v>1761</v>
      </c>
      <c r="B200" s="7" t="s">
        <v>426</v>
      </c>
      <c r="C200" s="7" t="s">
        <v>37</v>
      </c>
      <c r="D200" s="7" t="s">
        <v>1483</v>
      </c>
      <c r="E200" s="7" t="s">
        <v>1185</v>
      </c>
      <c r="F200" s="8" t="s">
        <v>25</v>
      </c>
      <c r="G200" s="60">
        <v>38000</v>
      </c>
      <c r="H200" s="6" t="s">
        <v>1475</v>
      </c>
      <c r="I200" s="6" t="s">
        <v>27</v>
      </c>
      <c r="J200" s="6" t="s">
        <v>27</v>
      </c>
      <c r="K200" s="6" t="s">
        <v>27</v>
      </c>
      <c r="L200" s="6" t="s">
        <v>27</v>
      </c>
      <c r="M200" s="6" t="s">
        <v>27</v>
      </c>
      <c r="N200" s="6" t="s">
        <v>27</v>
      </c>
      <c r="O200" s="6" t="s">
        <v>27</v>
      </c>
      <c r="P200" s="6" t="s">
        <v>27</v>
      </c>
      <c r="Q200" s="6"/>
      <c r="R200" s="33">
        <f t="shared" si="5"/>
        <v>2023</v>
      </c>
      <c r="S200" s="33"/>
    </row>
    <row r="201" spans="1:19" ht="14.5" x14ac:dyDescent="0.35">
      <c r="A201" s="7" t="s">
        <v>412</v>
      </c>
      <c r="B201" s="7" t="s">
        <v>413</v>
      </c>
      <c r="C201" s="7" t="s">
        <v>82</v>
      </c>
      <c r="D201" s="7" t="s">
        <v>1640</v>
      </c>
      <c r="E201" s="7" t="s">
        <v>1719</v>
      </c>
      <c r="F201" s="8" t="s">
        <v>25</v>
      </c>
      <c r="G201" s="60">
        <v>49400</v>
      </c>
      <c r="H201" s="6" t="s">
        <v>1475</v>
      </c>
      <c r="I201" s="6" t="s">
        <v>27</v>
      </c>
      <c r="J201" s="6" t="s">
        <v>27</v>
      </c>
      <c r="K201" s="6" t="s">
        <v>27</v>
      </c>
      <c r="L201" s="6" t="s">
        <v>27</v>
      </c>
      <c r="M201" s="6" t="s">
        <v>27</v>
      </c>
      <c r="N201" s="6" t="s">
        <v>27</v>
      </c>
      <c r="O201" s="6" t="s">
        <v>27</v>
      </c>
      <c r="P201" s="6" t="s">
        <v>27</v>
      </c>
      <c r="Q201" s="6"/>
      <c r="R201" s="33">
        <f t="shared" si="5"/>
        <v>2023</v>
      </c>
      <c r="S201" s="33"/>
    </row>
    <row r="202" spans="1:19" ht="14.5" x14ac:dyDescent="0.35">
      <c r="A202" s="7" t="s">
        <v>1765</v>
      </c>
      <c r="B202" s="7" t="s">
        <v>467</v>
      </c>
      <c r="C202" s="7" t="s">
        <v>37</v>
      </c>
      <c r="D202" s="7" t="s">
        <v>1610</v>
      </c>
      <c r="E202" s="7" t="s">
        <v>1183</v>
      </c>
      <c r="F202" s="8" t="s">
        <v>44</v>
      </c>
      <c r="G202" s="60">
        <v>40000</v>
      </c>
      <c r="H202" s="6" t="s">
        <v>1475</v>
      </c>
      <c r="I202" s="6" t="s">
        <v>27</v>
      </c>
      <c r="J202" s="6" t="s">
        <v>27</v>
      </c>
      <c r="K202" s="6" t="s">
        <v>27</v>
      </c>
      <c r="L202" s="6" t="s">
        <v>27</v>
      </c>
      <c r="M202" s="6" t="s">
        <v>27</v>
      </c>
      <c r="N202" s="6" t="s">
        <v>27</v>
      </c>
      <c r="O202" s="6" t="s">
        <v>27</v>
      </c>
      <c r="P202" s="6" t="s">
        <v>27</v>
      </c>
      <c r="Q202" s="6"/>
      <c r="R202" s="33">
        <f t="shared" si="5"/>
        <v>2023</v>
      </c>
      <c r="S202" s="33"/>
    </row>
    <row r="203" spans="1:19" ht="14.5" x14ac:dyDescent="0.35">
      <c r="A203" s="7" t="s">
        <v>1765</v>
      </c>
      <c r="B203" s="7" t="s">
        <v>467</v>
      </c>
      <c r="C203" s="7" t="s">
        <v>37</v>
      </c>
      <c r="D203" s="7" t="s">
        <v>1610</v>
      </c>
      <c r="E203" s="7" t="s">
        <v>1727</v>
      </c>
      <c r="F203" s="8" t="s">
        <v>44</v>
      </c>
      <c r="G203" s="60">
        <v>51000</v>
      </c>
      <c r="H203" s="6" t="s">
        <v>1475</v>
      </c>
      <c r="I203" s="6" t="s">
        <v>27</v>
      </c>
      <c r="J203" s="6" t="s">
        <v>27</v>
      </c>
      <c r="K203" s="6" t="s">
        <v>27</v>
      </c>
      <c r="L203" s="6" t="s">
        <v>27</v>
      </c>
      <c r="M203" s="6" t="s">
        <v>27</v>
      </c>
      <c r="N203" s="6" t="s">
        <v>27</v>
      </c>
      <c r="O203" s="6" t="s">
        <v>27</v>
      </c>
      <c r="P203" s="6" t="s">
        <v>27</v>
      </c>
      <c r="Q203" s="6"/>
      <c r="R203" s="33">
        <f t="shared" si="5"/>
        <v>2023</v>
      </c>
      <c r="S203" s="33"/>
    </row>
    <row r="204" spans="1:19" ht="14.5" x14ac:dyDescent="0.35">
      <c r="A204" s="7" t="s">
        <v>1761</v>
      </c>
      <c r="B204" s="7" t="s">
        <v>426</v>
      </c>
      <c r="C204" s="7" t="s">
        <v>37</v>
      </c>
      <c r="D204" s="7" t="s">
        <v>1478</v>
      </c>
      <c r="E204" s="7" t="s">
        <v>1766</v>
      </c>
      <c r="F204" s="8" t="s">
        <v>53</v>
      </c>
      <c r="G204" s="60">
        <v>13600</v>
      </c>
      <c r="H204" s="6" t="s">
        <v>1475</v>
      </c>
      <c r="I204" s="6" t="s">
        <v>27</v>
      </c>
      <c r="J204" s="6" t="s">
        <v>27</v>
      </c>
      <c r="K204" s="6" t="s">
        <v>27</v>
      </c>
      <c r="L204" s="6" t="s">
        <v>27</v>
      </c>
      <c r="M204" s="6" t="s">
        <v>27</v>
      </c>
      <c r="N204" s="6" t="s">
        <v>27</v>
      </c>
      <c r="O204" s="6" t="s">
        <v>27</v>
      </c>
      <c r="P204" s="6" t="s">
        <v>27</v>
      </c>
      <c r="Q204" s="6"/>
      <c r="R204" s="33">
        <f t="shared" si="5"/>
        <v>2023</v>
      </c>
      <c r="S204" s="33"/>
    </row>
    <row r="205" spans="1:19" ht="14.5" x14ac:dyDescent="0.35">
      <c r="A205" s="7" t="s">
        <v>1765</v>
      </c>
      <c r="B205" s="7" t="s">
        <v>467</v>
      </c>
      <c r="C205" s="7" t="s">
        <v>37</v>
      </c>
      <c r="D205" s="7" t="s">
        <v>1767</v>
      </c>
      <c r="E205" s="7" t="s">
        <v>1727</v>
      </c>
      <c r="F205" s="8" t="s">
        <v>44</v>
      </c>
      <c r="G205" s="60">
        <v>140000</v>
      </c>
      <c r="H205" s="6" t="s">
        <v>1475</v>
      </c>
      <c r="I205" s="6" t="s">
        <v>27</v>
      </c>
      <c r="J205" s="6" t="s">
        <v>27</v>
      </c>
      <c r="K205" s="6" t="s">
        <v>27</v>
      </c>
      <c r="L205" s="6" t="s">
        <v>27</v>
      </c>
      <c r="M205" s="6" t="s">
        <v>27</v>
      </c>
      <c r="N205" s="6" t="s">
        <v>27</v>
      </c>
      <c r="O205" s="6" t="s">
        <v>27</v>
      </c>
      <c r="P205" s="6" t="s">
        <v>27</v>
      </c>
      <c r="Q205" s="6"/>
      <c r="R205" s="33">
        <f t="shared" si="5"/>
        <v>2023</v>
      </c>
      <c r="S205" s="33"/>
    </row>
    <row r="206" spans="1:19" ht="14.5" x14ac:dyDescent="0.35">
      <c r="A206" s="7" t="s">
        <v>1765</v>
      </c>
      <c r="B206" s="7" t="s">
        <v>467</v>
      </c>
      <c r="C206" s="7" t="s">
        <v>37</v>
      </c>
      <c r="D206" s="7" t="s">
        <v>1758</v>
      </c>
      <c r="E206" s="7" t="s">
        <v>1183</v>
      </c>
      <c r="F206" s="8" t="s">
        <v>247</v>
      </c>
      <c r="G206" s="60">
        <v>22502</v>
      </c>
      <c r="H206" s="6" t="s">
        <v>1475</v>
      </c>
      <c r="I206" s="6" t="s">
        <v>27</v>
      </c>
      <c r="J206" s="6" t="s">
        <v>27</v>
      </c>
      <c r="K206" s="6" t="s">
        <v>27</v>
      </c>
      <c r="L206" s="6" t="s">
        <v>27</v>
      </c>
      <c r="M206" s="6" t="s">
        <v>27</v>
      </c>
      <c r="N206" s="6" t="s">
        <v>27</v>
      </c>
      <c r="O206" s="6" t="s">
        <v>27</v>
      </c>
      <c r="P206" s="6" t="s">
        <v>27</v>
      </c>
      <c r="Q206" s="6"/>
      <c r="R206" s="33">
        <f t="shared" si="5"/>
        <v>2023</v>
      </c>
      <c r="S206" s="33"/>
    </row>
    <row r="207" spans="1:19" ht="14.5" x14ac:dyDescent="0.35">
      <c r="A207" s="7" t="s">
        <v>1761</v>
      </c>
      <c r="B207" s="7" t="s">
        <v>426</v>
      </c>
      <c r="C207" s="7" t="s">
        <v>37</v>
      </c>
      <c r="D207" s="7" t="s">
        <v>1768</v>
      </c>
      <c r="E207" s="7" t="s">
        <v>1769</v>
      </c>
      <c r="F207" s="8" t="s">
        <v>44</v>
      </c>
      <c r="G207" s="60">
        <v>140000</v>
      </c>
      <c r="H207" s="6" t="s">
        <v>1475</v>
      </c>
      <c r="I207" s="6" t="s">
        <v>27</v>
      </c>
      <c r="J207" s="6" t="s">
        <v>27</v>
      </c>
      <c r="K207" s="6" t="s">
        <v>27</v>
      </c>
      <c r="L207" s="6" t="s">
        <v>27</v>
      </c>
      <c r="M207" s="6" t="s">
        <v>27</v>
      </c>
      <c r="N207" s="6" t="s">
        <v>27</v>
      </c>
      <c r="O207" s="6" t="s">
        <v>27</v>
      </c>
      <c r="P207" s="6" t="s">
        <v>27</v>
      </c>
      <c r="Q207" s="6"/>
      <c r="R207" s="33">
        <f t="shared" si="5"/>
        <v>2023</v>
      </c>
      <c r="S207" s="33"/>
    </row>
    <row r="208" spans="1:19" ht="14.5" x14ac:dyDescent="0.35">
      <c r="A208" s="7" t="s">
        <v>1761</v>
      </c>
      <c r="B208" s="7" t="s">
        <v>426</v>
      </c>
      <c r="C208" s="7" t="s">
        <v>37</v>
      </c>
      <c r="D208" s="7" t="s">
        <v>1483</v>
      </c>
      <c r="E208" s="7" t="s">
        <v>1770</v>
      </c>
      <c r="F208" s="8" t="s">
        <v>247</v>
      </c>
      <c r="G208" s="60">
        <v>22502</v>
      </c>
      <c r="H208" s="6" t="s">
        <v>1475</v>
      </c>
      <c r="I208" s="6" t="s">
        <v>27</v>
      </c>
      <c r="J208" s="6" t="s">
        <v>27</v>
      </c>
      <c r="K208" s="6" t="s">
        <v>27</v>
      </c>
      <c r="L208" s="6" t="s">
        <v>27</v>
      </c>
      <c r="M208" s="6" t="s">
        <v>27</v>
      </c>
      <c r="N208" s="6" t="s">
        <v>27</v>
      </c>
      <c r="O208" s="6" t="s">
        <v>27</v>
      </c>
      <c r="P208" s="6" t="s">
        <v>27</v>
      </c>
      <c r="Q208" s="6"/>
      <c r="R208" s="33">
        <f t="shared" si="5"/>
        <v>2023</v>
      </c>
      <c r="S208" s="33"/>
    </row>
    <row r="209" spans="1:19" ht="14.5" x14ac:dyDescent="0.35">
      <c r="A209" s="7" t="s">
        <v>1761</v>
      </c>
      <c r="B209" s="7" t="s">
        <v>426</v>
      </c>
      <c r="C209" s="7" t="s">
        <v>37</v>
      </c>
      <c r="D209" s="7" t="s">
        <v>1483</v>
      </c>
      <c r="E209" s="7" t="s">
        <v>1770</v>
      </c>
      <c r="F209" s="8" t="s">
        <v>247</v>
      </c>
      <c r="G209" s="60">
        <v>17002</v>
      </c>
      <c r="H209" s="6" t="s">
        <v>749</v>
      </c>
      <c r="I209" s="175"/>
      <c r="J209" s="175"/>
      <c r="K209" s="175"/>
      <c r="L209" s="175"/>
      <c r="M209" s="175"/>
      <c r="N209" s="175"/>
      <c r="O209" s="175"/>
      <c r="P209" s="175"/>
      <c r="Q209" s="6"/>
      <c r="R209" s="33">
        <f t="shared" si="5"/>
        <v>2023</v>
      </c>
      <c r="S209" s="33"/>
    </row>
    <row r="210" spans="1:19" ht="14.5" x14ac:dyDescent="0.35">
      <c r="A210" s="7" t="s">
        <v>1771</v>
      </c>
      <c r="B210" s="7" t="s">
        <v>447</v>
      </c>
      <c r="C210" s="7" t="s">
        <v>37</v>
      </c>
      <c r="D210" s="7" t="s">
        <v>1545</v>
      </c>
      <c r="E210" s="7" t="s">
        <v>1183</v>
      </c>
      <c r="F210" s="8" t="s">
        <v>53</v>
      </c>
      <c r="G210" s="60">
        <v>13600</v>
      </c>
      <c r="H210" s="6" t="s">
        <v>1475</v>
      </c>
      <c r="I210" s="6" t="s">
        <v>27</v>
      </c>
      <c r="J210" s="6" t="s">
        <v>27</v>
      </c>
      <c r="K210" s="6" t="s">
        <v>27</v>
      </c>
      <c r="L210" s="6" t="s">
        <v>27</v>
      </c>
      <c r="M210" s="6" t="s">
        <v>27</v>
      </c>
      <c r="N210" s="6" t="s">
        <v>27</v>
      </c>
      <c r="O210" s="6" t="s">
        <v>27</v>
      </c>
      <c r="P210" s="6" t="s">
        <v>27</v>
      </c>
      <c r="Q210" s="6"/>
      <c r="R210" s="33">
        <f t="shared" si="5"/>
        <v>2023</v>
      </c>
      <c r="S210" s="33"/>
    </row>
    <row r="211" spans="1:19" ht="14.5" x14ac:dyDescent="0.35">
      <c r="A211" s="7" t="s">
        <v>1761</v>
      </c>
      <c r="B211" s="7" t="s">
        <v>426</v>
      </c>
      <c r="C211" s="7" t="s">
        <v>37</v>
      </c>
      <c r="D211" s="7" t="s">
        <v>1483</v>
      </c>
      <c r="E211" s="7" t="s">
        <v>1772</v>
      </c>
      <c r="F211" s="8" t="s">
        <v>53</v>
      </c>
      <c r="G211" s="60">
        <v>7600</v>
      </c>
      <c r="H211" s="6" t="s">
        <v>1475</v>
      </c>
      <c r="I211" s="6" t="s">
        <v>27</v>
      </c>
      <c r="J211" s="6" t="s">
        <v>27</v>
      </c>
      <c r="K211" s="6" t="s">
        <v>27</v>
      </c>
      <c r="L211" s="6" t="s">
        <v>27</v>
      </c>
      <c r="M211" s="6" t="s">
        <v>27</v>
      </c>
      <c r="N211" s="6" t="s">
        <v>27</v>
      </c>
      <c r="O211" s="6" t="s">
        <v>27</v>
      </c>
      <c r="P211" s="6" t="s">
        <v>27</v>
      </c>
      <c r="Q211" s="6"/>
      <c r="R211" s="33">
        <f t="shared" si="5"/>
        <v>2023</v>
      </c>
      <c r="S211" s="33"/>
    </row>
    <row r="212" spans="1:19" ht="14.5" x14ac:dyDescent="0.35">
      <c r="A212" s="7" t="s">
        <v>1771</v>
      </c>
      <c r="B212" s="7" t="s">
        <v>447</v>
      </c>
      <c r="C212" s="7" t="s">
        <v>37</v>
      </c>
      <c r="D212" s="7" t="s">
        <v>1527</v>
      </c>
      <c r="E212" s="7" t="s">
        <v>1727</v>
      </c>
      <c r="F212" s="8" t="s">
        <v>53</v>
      </c>
      <c r="G212" s="60">
        <v>7600</v>
      </c>
      <c r="H212" s="6" t="s">
        <v>1475</v>
      </c>
      <c r="I212" s="6" t="s">
        <v>27</v>
      </c>
      <c r="J212" s="6" t="s">
        <v>27</v>
      </c>
      <c r="K212" s="6" t="s">
        <v>27</v>
      </c>
      <c r="L212" s="6" t="s">
        <v>27</v>
      </c>
      <c r="M212" s="6" t="s">
        <v>27</v>
      </c>
      <c r="N212" s="6" t="s">
        <v>27</v>
      </c>
      <c r="O212" s="6" t="s">
        <v>27</v>
      </c>
      <c r="P212" s="6" t="s">
        <v>27</v>
      </c>
      <c r="Q212" s="6"/>
      <c r="R212" s="33">
        <f t="shared" si="5"/>
        <v>2023</v>
      </c>
      <c r="S212" s="33"/>
    </row>
    <row r="213" spans="1:19" ht="14.5" x14ac:dyDescent="0.35">
      <c r="A213" s="7" t="s">
        <v>1761</v>
      </c>
      <c r="B213" s="7" t="s">
        <v>426</v>
      </c>
      <c r="C213" s="7" t="s">
        <v>37</v>
      </c>
      <c r="D213" s="7" t="s">
        <v>1469</v>
      </c>
      <c r="E213" s="7" t="s">
        <v>1722</v>
      </c>
      <c r="F213" s="8" t="s">
        <v>247</v>
      </c>
      <c r="G213" s="60">
        <v>38502</v>
      </c>
      <c r="H213" s="6" t="s">
        <v>1475</v>
      </c>
      <c r="I213" s="6" t="s">
        <v>27</v>
      </c>
      <c r="J213" s="6" t="s">
        <v>27</v>
      </c>
      <c r="K213" s="6" t="s">
        <v>27</v>
      </c>
      <c r="L213" s="6" t="s">
        <v>27</v>
      </c>
      <c r="M213" s="6" t="s">
        <v>27</v>
      </c>
      <c r="N213" s="6" t="s">
        <v>27</v>
      </c>
      <c r="O213" s="6" t="s">
        <v>27</v>
      </c>
      <c r="P213" s="6" t="s">
        <v>27</v>
      </c>
      <c r="Q213" s="6"/>
      <c r="R213" s="33">
        <f t="shared" si="5"/>
        <v>2023</v>
      </c>
      <c r="S213" s="33"/>
    </row>
    <row r="214" spans="1:19" ht="14.5" x14ac:dyDescent="0.35">
      <c r="A214" s="7" t="s">
        <v>1761</v>
      </c>
      <c r="B214" s="7" t="s">
        <v>426</v>
      </c>
      <c r="C214" s="7" t="s">
        <v>37</v>
      </c>
      <c r="D214" s="7" t="s">
        <v>1773</v>
      </c>
      <c r="E214" s="7" t="s">
        <v>1694</v>
      </c>
      <c r="F214" s="8" t="s">
        <v>25</v>
      </c>
      <c r="G214" s="60">
        <v>35560</v>
      </c>
      <c r="H214" s="6" t="s">
        <v>1475</v>
      </c>
      <c r="I214" s="6" t="s">
        <v>27</v>
      </c>
      <c r="J214" s="6" t="s">
        <v>27</v>
      </c>
      <c r="K214" s="6" t="s">
        <v>27</v>
      </c>
      <c r="L214" s="6" t="s">
        <v>27</v>
      </c>
      <c r="M214" s="6" t="s">
        <v>27</v>
      </c>
      <c r="N214" s="6" t="s">
        <v>27</v>
      </c>
      <c r="O214" s="6" t="s">
        <v>27</v>
      </c>
      <c r="P214" s="6" t="s">
        <v>27</v>
      </c>
      <c r="Q214" s="6"/>
      <c r="R214" s="33">
        <f t="shared" si="5"/>
        <v>2023</v>
      </c>
      <c r="S214" s="33"/>
    </row>
    <row r="215" spans="1:19" ht="14.5" x14ac:dyDescent="0.35">
      <c r="A215" s="7" t="s">
        <v>498</v>
      </c>
      <c r="B215" s="7" t="s">
        <v>499</v>
      </c>
      <c r="C215" s="7" t="s">
        <v>82</v>
      </c>
      <c r="D215" s="7" t="s">
        <v>1689</v>
      </c>
      <c r="E215" s="7" t="s">
        <v>1011</v>
      </c>
      <c r="F215" s="8" t="s">
        <v>25</v>
      </c>
      <c r="G215" s="60">
        <v>2000</v>
      </c>
      <c r="H215" s="6" t="s">
        <v>1475</v>
      </c>
      <c r="I215" s="6" t="s">
        <v>27</v>
      </c>
      <c r="J215" s="6" t="s">
        <v>27</v>
      </c>
      <c r="K215" s="6" t="s">
        <v>27</v>
      </c>
      <c r="L215" s="6" t="s">
        <v>27</v>
      </c>
      <c r="M215" s="6" t="s">
        <v>27</v>
      </c>
      <c r="N215" s="6" t="s">
        <v>27</v>
      </c>
      <c r="O215" s="6" t="s">
        <v>27</v>
      </c>
      <c r="P215" s="6" t="s">
        <v>27</v>
      </c>
      <c r="Q215" s="6"/>
      <c r="R215" s="33">
        <f t="shared" si="5"/>
        <v>2023</v>
      </c>
      <c r="S215" s="33"/>
    </row>
    <row r="216" spans="1:19" ht="14.5" x14ac:dyDescent="0.35">
      <c r="A216" s="7" t="s">
        <v>498</v>
      </c>
      <c r="B216" s="7" t="s">
        <v>499</v>
      </c>
      <c r="C216" s="7" t="s">
        <v>82</v>
      </c>
      <c r="D216" s="7" t="s">
        <v>1774</v>
      </c>
      <c r="E216" s="7" t="s">
        <v>1775</v>
      </c>
      <c r="F216" s="8" t="s">
        <v>25</v>
      </c>
      <c r="G216" s="60">
        <v>7400</v>
      </c>
      <c r="H216" s="6" t="s">
        <v>1475</v>
      </c>
      <c r="I216" s="6" t="s">
        <v>27</v>
      </c>
      <c r="J216" s="6" t="s">
        <v>27</v>
      </c>
      <c r="K216" s="6" t="s">
        <v>27</v>
      </c>
      <c r="L216" s="6" t="s">
        <v>27</v>
      </c>
      <c r="M216" s="6" t="s">
        <v>27</v>
      </c>
      <c r="N216" s="6" t="s">
        <v>27</v>
      </c>
      <c r="O216" s="6" t="s">
        <v>27</v>
      </c>
      <c r="P216" s="6" t="s">
        <v>27</v>
      </c>
      <c r="Q216" s="6"/>
      <c r="R216" s="33">
        <f t="shared" si="5"/>
        <v>2023</v>
      </c>
      <c r="S216" s="33"/>
    </row>
    <row r="217" spans="1:19" ht="14.5" x14ac:dyDescent="0.35">
      <c r="A217" s="7" t="s">
        <v>1761</v>
      </c>
      <c r="B217" s="7" t="s">
        <v>426</v>
      </c>
      <c r="C217" s="7" t="s">
        <v>37</v>
      </c>
      <c r="D217" s="7" t="s">
        <v>1513</v>
      </c>
      <c r="E217" s="7" t="s">
        <v>1011</v>
      </c>
      <c r="F217" s="8" t="s">
        <v>44</v>
      </c>
      <c r="G217" s="60">
        <v>6000</v>
      </c>
      <c r="H217" s="6" t="s">
        <v>749</v>
      </c>
      <c r="I217" s="175"/>
      <c r="J217" s="175"/>
      <c r="K217" s="175"/>
      <c r="L217" s="175"/>
      <c r="M217" s="175"/>
      <c r="N217" s="175"/>
      <c r="O217" s="175"/>
      <c r="P217" s="175"/>
      <c r="Q217" s="6"/>
      <c r="R217" s="33">
        <f t="shared" si="5"/>
        <v>2023</v>
      </c>
      <c r="S217" s="33"/>
    </row>
    <row r="218" spans="1:19" ht="14.5" x14ac:dyDescent="0.35">
      <c r="A218" s="7" t="s">
        <v>1761</v>
      </c>
      <c r="B218" s="7" t="s">
        <v>426</v>
      </c>
      <c r="C218" s="7" t="s">
        <v>37</v>
      </c>
      <c r="D218" s="7" t="s">
        <v>1776</v>
      </c>
      <c r="E218" s="7" t="s">
        <v>1127</v>
      </c>
      <c r="F218" s="4" t="s">
        <v>53</v>
      </c>
      <c r="G218" s="60">
        <v>5200</v>
      </c>
      <c r="H218" s="6" t="s">
        <v>749</v>
      </c>
      <c r="I218" s="175"/>
      <c r="J218" s="175"/>
      <c r="K218" s="175"/>
      <c r="L218" s="175"/>
      <c r="M218" s="175"/>
      <c r="N218" s="175"/>
      <c r="O218" s="175"/>
      <c r="P218" s="175"/>
      <c r="Q218" s="6"/>
      <c r="R218" s="33">
        <f t="shared" si="5"/>
        <v>2023</v>
      </c>
      <c r="S218" s="33"/>
    </row>
    <row r="219" spans="1:19" ht="14.5" x14ac:dyDescent="0.35">
      <c r="A219" s="7" t="s">
        <v>1114</v>
      </c>
      <c r="B219" s="7" t="s">
        <v>426</v>
      </c>
      <c r="C219" s="7" t="s">
        <v>37</v>
      </c>
      <c r="D219" s="7" t="s">
        <v>1513</v>
      </c>
      <c r="E219" s="7" t="s">
        <v>1011</v>
      </c>
      <c r="F219" s="8" t="s">
        <v>44</v>
      </c>
      <c r="G219" s="60">
        <v>45000</v>
      </c>
      <c r="H219" s="6" t="s">
        <v>1475</v>
      </c>
      <c r="I219" s="6" t="s">
        <v>27</v>
      </c>
      <c r="J219" s="6" t="s">
        <v>27</v>
      </c>
      <c r="K219" s="6" t="s">
        <v>27</v>
      </c>
      <c r="L219" s="6" t="s">
        <v>27</v>
      </c>
      <c r="M219" s="6" t="s">
        <v>27</v>
      </c>
      <c r="N219" s="6" t="s">
        <v>27</v>
      </c>
      <c r="O219" s="6" t="s">
        <v>27</v>
      </c>
      <c r="P219" s="6" t="s">
        <v>27</v>
      </c>
      <c r="Q219" s="6"/>
      <c r="R219" s="33">
        <f t="shared" si="5"/>
        <v>2023</v>
      </c>
      <c r="S219" s="33"/>
    </row>
    <row r="220" spans="1:19" ht="14.5" x14ac:dyDescent="0.35">
      <c r="A220" s="7" t="s">
        <v>454</v>
      </c>
      <c r="B220" s="7" t="s">
        <v>455</v>
      </c>
      <c r="C220" s="7" t="s">
        <v>37</v>
      </c>
      <c r="D220" s="7" t="s">
        <v>1777</v>
      </c>
      <c r="E220" s="7" t="s">
        <v>1183</v>
      </c>
      <c r="F220" s="8" t="s">
        <v>44</v>
      </c>
      <c r="G220" s="60">
        <v>57500</v>
      </c>
      <c r="H220" s="6" t="s">
        <v>1475</v>
      </c>
      <c r="I220" s="6" t="s">
        <v>27</v>
      </c>
      <c r="J220" s="6" t="s">
        <v>27</v>
      </c>
      <c r="K220" s="6" t="s">
        <v>27</v>
      </c>
      <c r="L220" s="6" t="s">
        <v>27</v>
      </c>
      <c r="M220" s="6" t="s">
        <v>27</v>
      </c>
      <c r="N220" s="6" t="s">
        <v>27</v>
      </c>
      <c r="O220" s="6" t="s">
        <v>27</v>
      </c>
      <c r="P220" s="6" t="s">
        <v>27</v>
      </c>
      <c r="Q220" s="6"/>
      <c r="R220" s="33">
        <f t="shared" si="5"/>
        <v>2023</v>
      </c>
      <c r="S220" s="33"/>
    </row>
    <row r="221" spans="1:19" ht="14.5" x14ac:dyDescent="0.35">
      <c r="A221" s="7" t="s">
        <v>1761</v>
      </c>
      <c r="B221" s="7" t="s">
        <v>426</v>
      </c>
      <c r="C221" s="7" t="s">
        <v>37</v>
      </c>
      <c r="D221" s="7" t="s">
        <v>1778</v>
      </c>
      <c r="E221" s="7" t="s">
        <v>1779</v>
      </c>
      <c r="F221" s="8" t="s">
        <v>247</v>
      </c>
      <c r="G221" s="60">
        <v>22402</v>
      </c>
      <c r="H221" s="6" t="s">
        <v>1475</v>
      </c>
      <c r="I221" s="6" t="s">
        <v>27</v>
      </c>
      <c r="J221" s="6" t="s">
        <v>27</v>
      </c>
      <c r="K221" s="6" t="s">
        <v>27</v>
      </c>
      <c r="L221" s="6" t="s">
        <v>27</v>
      </c>
      <c r="M221" s="6" t="s">
        <v>27</v>
      </c>
      <c r="N221" s="6" t="s">
        <v>27</v>
      </c>
      <c r="O221" s="6" t="s">
        <v>27</v>
      </c>
      <c r="P221" s="6" t="s">
        <v>27</v>
      </c>
      <c r="Q221" s="6"/>
      <c r="R221" s="33">
        <f t="shared" si="5"/>
        <v>2023</v>
      </c>
      <c r="S221" s="33"/>
    </row>
    <row r="222" spans="1:19" ht="14.5" x14ac:dyDescent="0.35">
      <c r="A222" s="7" t="s">
        <v>1114</v>
      </c>
      <c r="B222" s="7" t="s">
        <v>426</v>
      </c>
      <c r="C222" s="7" t="s">
        <v>37</v>
      </c>
      <c r="D222" s="7" t="s">
        <v>1780</v>
      </c>
      <c r="E222" s="7" t="s">
        <v>1781</v>
      </c>
      <c r="F222" s="8" t="s">
        <v>247</v>
      </c>
      <c r="G222" s="60">
        <v>15704</v>
      </c>
      <c r="H222" s="6" t="s">
        <v>663</v>
      </c>
      <c r="I222" s="175"/>
      <c r="J222" s="175"/>
      <c r="K222" s="175"/>
      <c r="L222" s="175"/>
      <c r="M222" s="175"/>
      <c r="N222" s="175"/>
      <c r="O222" s="175"/>
      <c r="P222" s="175"/>
      <c r="Q222" s="6"/>
      <c r="R222" s="33">
        <f t="shared" si="5"/>
        <v>2023</v>
      </c>
      <c r="S222" s="33"/>
    </row>
    <row r="223" spans="1:19" ht="14.5" x14ac:dyDescent="0.35">
      <c r="A223" s="7" t="s">
        <v>454</v>
      </c>
      <c r="B223" s="7" t="s">
        <v>455</v>
      </c>
      <c r="C223" s="7" t="s">
        <v>37</v>
      </c>
      <c r="D223" s="7" t="s">
        <v>1782</v>
      </c>
      <c r="E223" s="7" t="s">
        <v>662</v>
      </c>
      <c r="F223" s="8" t="s">
        <v>44</v>
      </c>
      <c r="G223" s="60">
        <v>230000</v>
      </c>
      <c r="H223" s="6" t="s">
        <v>749</v>
      </c>
      <c r="I223" s="175"/>
      <c r="J223" s="175"/>
      <c r="K223" s="175"/>
      <c r="L223" s="175"/>
      <c r="M223" s="175"/>
      <c r="N223" s="175"/>
      <c r="O223" s="175"/>
      <c r="P223" s="175"/>
      <c r="Q223" s="6"/>
      <c r="R223" s="33">
        <f t="shared" si="5"/>
        <v>2023</v>
      </c>
      <c r="S223" s="33"/>
    </row>
    <row r="224" spans="1:19" ht="14.5" x14ac:dyDescent="0.35">
      <c r="A224" s="7" t="s">
        <v>1057</v>
      </c>
      <c r="B224" s="7" t="s">
        <v>444</v>
      </c>
      <c r="C224" s="7" t="s">
        <v>37</v>
      </c>
      <c r="D224" s="7" t="s">
        <v>1527</v>
      </c>
      <c r="E224" s="7" t="s">
        <v>1727</v>
      </c>
      <c r="F224" s="8" t="s">
        <v>247</v>
      </c>
      <c r="G224" s="60">
        <v>17002</v>
      </c>
      <c r="H224" s="6" t="s">
        <v>1475</v>
      </c>
      <c r="I224" s="6" t="s">
        <v>27</v>
      </c>
      <c r="J224" s="6" t="s">
        <v>27</v>
      </c>
      <c r="K224" s="6" t="s">
        <v>27</v>
      </c>
      <c r="L224" s="6" t="s">
        <v>27</v>
      </c>
      <c r="M224" s="6" t="s">
        <v>27</v>
      </c>
      <c r="N224" s="6" t="s">
        <v>27</v>
      </c>
      <c r="O224" s="6" t="s">
        <v>27</v>
      </c>
      <c r="P224" s="6" t="s">
        <v>27</v>
      </c>
      <c r="Q224" s="6"/>
      <c r="R224" s="33">
        <f t="shared" si="5"/>
        <v>2023</v>
      </c>
      <c r="S224" s="33"/>
    </row>
    <row r="225" spans="1:19" ht="14.5" x14ac:dyDescent="0.35">
      <c r="A225" s="7" t="s">
        <v>1761</v>
      </c>
      <c r="B225" s="7" t="s">
        <v>426</v>
      </c>
      <c r="C225" s="7" t="s">
        <v>37</v>
      </c>
      <c r="D225" s="7" t="s">
        <v>1778</v>
      </c>
      <c r="E225" s="7" t="s">
        <v>1779</v>
      </c>
      <c r="F225" s="8" t="s">
        <v>25</v>
      </c>
      <c r="G225" s="60">
        <v>75000</v>
      </c>
      <c r="H225" s="6" t="s">
        <v>749</v>
      </c>
      <c r="I225" s="175"/>
      <c r="J225" s="175"/>
      <c r="K225" s="175"/>
      <c r="L225" s="175"/>
      <c r="M225" s="175"/>
      <c r="N225" s="175"/>
      <c r="O225" s="175"/>
      <c r="P225" s="175"/>
      <c r="Q225" s="6"/>
      <c r="R225" s="33">
        <f t="shared" si="5"/>
        <v>2023</v>
      </c>
      <c r="S225" s="33"/>
    </row>
    <row r="226" spans="1:19" ht="14.5" x14ac:dyDescent="0.35">
      <c r="A226" s="7" t="s">
        <v>1761</v>
      </c>
      <c r="B226" s="7" t="s">
        <v>426</v>
      </c>
      <c r="C226" s="7" t="s">
        <v>37</v>
      </c>
      <c r="D226" s="7" t="s">
        <v>1774</v>
      </c>
      <c r="E226" s="7" t="s">
        <v>1783</v>
      </c>
      <c r="F226" s="8" t="s">
        <v>25</v>
      </c>
      <c r="G226" s="60">
        <v>250000</v>
      </c>
      <c r="H226" s="6" t="s">
        <v>749</v>
      </c>
      <c r="I226" s="175"/>
      <c r="J226" s="175"/>
      <c r="K226" s="175"/>
      <c r="L226" s="175"/>
      <c r="M226" s="175"/>
      <c r="N226" s="175"/>
      <c r="O226" s="175"/>
      <c r="P226" s="175"/>
      <c r="Q226" s="6"/>
      <c r="R226" s="33">
        <f t="shared" si="5"/>
        <v>2023</v>
      </c>
      <c r="S226" s="33"/>
    </row>
    <row r="227" spans="1:19" ht="14.5" x14ac:dyDescent="0.35">
      <c r="A227" s="7" t="s">
        <v>1057</v>
      </c>
      <c r="B227" s="7" t="s">
        <v>444</v>
      </c>
      <c r="C227" s="7" t="s">
        <v>37</v>
      </c>
      <c r="D227" s="7" t="s">
        <v>1543</v>
      </c>
      <c r="E227" s="7" t="s">
        <v>1183</v>
      </c>
      <c r="F227" s="8" t="s">
        <v>53</v>
      </c>
      <c r="G227" s="60">
        <v>65400</v>
      </c>
      <c r="H227" s="6" t="s">
        <v>1475</v>
      </c>
      <c r="I227" s="6" t="s">
        <v>27</v>
      </c>
      <c r="J227" s="6" t="s">
        <v>27</v>
      </c>
      <c r="K227" s="6" t="s">
        <v>27</v>
      </c>
      <c r="L227" s="6" t="s">
        <v>27</v>
      </c>
      <c r="M227" s="6" t="s">
        <v>27</v>
      </c>
      <c r="N227" s="6" t="s">
        <v>27</v>
      </c>
      <c r="O227" s="6" t="s">
        <v>27</v>
      </c>
      <c r="P227" s="6" t="s">
        <v>27</v>
      </c>
      <c r="Q227" s="6"/>
      <c r="R227" s="33">
        <f t="shared" si="5"/>
        <v>2023</v>
      </c>
      <c r="S227" s="33"/>
    </row>
    <row r="228" spans="1:19" ht="14.5" x14ac:dyDescent="0.35">
      <c r="A228" s="7" t="s">
        <v>1761</v>
      </c>
      <c r="B228" s="7" t="s">
        <v>426</v>
      </c>
      <c r="C228" s="7" t="s">
        <v>37</v>
      </c>
      <c r="D228" s="7" t="s">
        <v>1469</v>
      </c>
      <c r="E228" s="7" t="s">
        <v>1722</v>
      </c>
      <c r="F228" s="8" t="s">
        <v>25</v>
      </c>
      <c r="G228" s="60">
        <v>200000</v>
      </c>
      <c r="H228" s="6" t="s">
        <v>1475</v>
      </c>
      <c r="I228" s="6" t="s">
        <v>27</v>
      </c>
      <c r="J228" s="6" t="s">
        <v>27</v>
      </c>
      <c r="K228" s="6" t="s">
        <v>27</v>
      </c>
      <c r="L228" s="6" t="s">
        <v>27</v>
      </c>
      <c r="M228" s="6" t="s">
        <v>27</v>
      </c>
      <c r="N228" s="6" t="s">
        <v>27</v>
      </c>
      <c r="O228" s="6" t="s">
        <v>27</v>
      </c>
      <c r="P228" s="6" t="s">
        <v>27</v>
      </c>
      <c r="Q228" s="6"/>
      <c r="R228" s="33">
        <f t="shared" si="5"/>
        <v>2023</v>
      </c>
      <c r="S228" s="33"/>
    </row>
    <row r="229" spans="1:19" ht="14.5" x14ac:dyDescent="0.35">
      <c r="A229" s="7" t="s">
        <v>1761</v>
      </c>
      <c r="B229" s="7" t="s">
        <v>426</v>
      </c>
      <c r="C229" s="7" t="s">
        <v>37</v>
      </c>
      <c r="D229" s="7" t="s">
        <v>1773</v>
      </c>
      <c r="E229" s="7" t="s">
        <v>1694</v>
      </c>
      <c r="F229" s="8" t="s">
        <v>25</v>
      </c>
      <c r="G229" s="60">
        <v>135000</v>
      </c>
      <c r="H229" s="6" t="s">
        <v>1475</v>
      </c>
      <c r="I229" s="6" t="s">
        <v>27</v>
      </c>
      <c r="J229" s="6" t="s">
        <v>27</v>
      </c>
      <c r="K229" s="6" t="s">
        <v>27</v>
      </c>
      <c r="L229" s="6" t="s">
        <v>27</v>
      </c>
      <c r="M229" s="6" t="s">
        <v>27</v>
      </c>
      <c r="N229" s="6" t="s">
        <v>27</v>
      </c>
      <c r="O229" s="6" t="s">
        <v>27</v>
      </c>
      <c r="P229" s="6" t="s">
        <v>27</v>
      </c>
      <c r="Q229" s="6"/>
      <c r="R229" s="33">
        <f t="shared" si="5"/>
        <v>2023</v>
      </c>
      <c r="S229" s="33"/>
    </row>
    <row r="230" spans="1:19" ht="14.5" x14ac:dyDescent="0.35">
      <c r="A230" s="7" t="s">
        <v>498</v>
      </c>
      <c r="B230" s="7" t="s">
        <v>499</v>
      </c>
      <c r="C230" s="7" t="s">
        <v>82</v>
      </c>
      <c r="D230" s="7" t="s">
        <v>1689</v>
      </c>
      <c r="E230" s="7" t="s">
        <v>1011</v>
      </c>
      <c r="F230" s="8" t="s">
        <v>25</v>
      </c>
      <c r="G230" s="60">
        <v>260000</v>
      </c>
      <c r="H230" s="6" t="s">
        <v>1475</v>
      </c>
      <c r="I230" s="6" t="s">
        <v>27</v>
      </c>
      <c r="J230" s="6" t="s">
        <v>27</v>
      </c>
      <c r="K230" s="6" t="s">
        <v>27</v>
      </c>
      <c r="L230" s="6" t="s">
        <v>27</v>
      </c>
      <c r="M230" s="6" t="s">
        <v>27</v>
      </c>
      <c r="N230" s="6" t="s">
        <v>27</v>
      </c>
      <c r="O230" s="6" t="s">
        <v>27</v>
      </c>
      <c r="P230" s="6" t="s">
        <v>27</v>
      </c>
      <c r="Q230" s="6"/>
      <c r="R230" s="33">
        <f t="shared" si="5"/>
        <v>2023</v>
      </c>
      <c r="S230" s="33"/>
    </row>
    <row r="231" spans="1:19" ht="14.5" x14ac:dyDescent="0.35">
      <c r="A231" s="7" t="s">
        <v>498</v>
      </c>
      <c r="B231" s="7" t="s">
        <v>499</v>
      </c>
      <c r="C231" s="7" t="s">
        <v>82</v>
      </c>
      <c r="D231" s="7" t="s">
        <v>1774</v>
      </c>
      <c r="E231" s="7" t="s">
        <v>1775</v>
      </c>
      <c r="F231" s="8" t="s">
        <v>25</v>
      </c>
      <c r="G231" s="60">
        <v>240000</v>
      </c>
      <c r="H231" s="6" t="s">
        <v>1475</v>
      </c>
      <c r="I231" s="6" t="s">
        <v>27</v>
      </c>
      <c r="J231" s="6" t="s">
        <v>27</v>
      </c>
      <c r="K231" s="6" t="s">
        <v>27</v>
      </c>
      <c r="L231" s="6" t="s">
        <v>27</v>
      </c>
      <c r="M231" s="6" t="s">
        <v>27</v>
      </c>
      <c r="N231" s="6" t="s">
        <v>27</v>
      </c>
      <c r="O231" s="6" t="s">
        <v>27</v>
      </c>
      <c r="P231" s="6" t="s">
        <v>27</v>
      </c>
      <c r="Q231" s="6"/>
      <c r="R231" s="33">
        <f t="shared" si="5"/>
        <v>2023</v>
      </c>
      <c r="S231" s="33"/>
    </row>
    <row r="232" spans="1:19" ht="14.5" x14ac:dyDescent="0.35">
      <c r="A232" s="7" t="s">
        <v>1761</v>
      </c>
      <c r="B232" s="7" t="s">
        <v>426</v>
      </c>
      <c r="C232" s="7" t="s">
        <v>37</v>
      </c>
      <c r="D232" s="7" t="s">
        <v>1513</v>
      </c>
      <c r="E232" s="7" t="s">
        <v>1011</v>
      </c>
      <c r="F232" s="8" t="s">
        <v>25</v>
      </c>
      <c r="G232" s="60">
        <v>880000</v>
      </c>
      <c r="H232" s="6" t="s">
        <v>749</v>
      </c>
      <c r="I232" s="175"/>
      <c r="J232" s="175"/>
      <c r="K232" s="175"/>
      <c r="L232" s="175"/>
      <c r="M232" s="175"/>
      <c r="N232" s="175"/>
      <c r="O232" s="175"/>
      <c r="P232" s="175"/>
      <c r="Q232" s="6"/>
      <c r="R232" s="33">
        <f t="shared" si="5"/>
        <v>2023</v>
      </c>
      <c r="S232" s="33"/>
    </row>
    <row r="233" spans="1:19" ht="14.5" x14ac:dyDescent="0.35">
      <c r="A233" s="7" t="s">
        <v>1761</v>
      </c>
      <c r="B233" s="7" t="s">
        <v>426</v>
      </c>
      <c r="C233" s="7" t="s">
        <v>37</v>
      </c>
      <c r="D233" s="7" t="s">
        <v>1776</v>
      </c>
      <c r="E233" s="7" t="s">
        <v>1127</v>
      </c>
      <c r="F233" s="8" t="s">
        <v>25</v>
      </c>
      <c r="G233" s="60">
        <v>427000</v>
      </c>
      <c r="H233" s="6" t="s">
        <v>1071</v>
      </c>
      <c r="I233" s="176" t="s">
        <v>28</v>
      </c>
      <c r="J233" s="6"/>
      <c r="K233" s="6"/>
      <c r="L233" s="6"/>
      <c r="M233" s="6"/>
      <c r="N233" s="6"/>
      <c r="O233" s="6"/>
      <c r="P233" s="6"/>
      <c r="Q233" s="6" t="s">
        <v>1055</v>
      </c>
      <c r="R233" s="33">
        <f t="shared" si="5"/>
        <v>2023</v>
      </c>
      <c r="S233" s="33"/>
    </row>
    <row r="234" spans="1:19" ht="14.5" x14ac:dyDescent="0.35">
      <c r="A234" s="7" t="s">
        <v>1114</v>
      </c>
      <c r="B234" s="7" t="s">
        <v>426</v>
      </c>
      <c r="C234" s="7" t="s">
        <v>37</v>
      </c>
      <c r="D234" s="7" t="s">
        <v>1513</v>
      </c>
      <c r="E234" s="7" t="s">
        <v>1011</v>
      </c>
      <c r="F234" s="8" t="s">
        <v>53</v>
      </c>
      <c r="G234" s="60">
        <v>300</v>
      </c>
      <c r="H234" s="6" t="s">
        <v>1475</v>
      </c>
      <c r="I234" s="6" t="s">
        <v>27</v>
      </c>
      <c r="J234" s="6" t="s">
        <v>27</v>
      </c>
      <c r="K234" s="6" t="s">
        <v>27</v>
      </c>
      <c r="L234" s="6" t="s">
        <v>27</v>
      </c>
      <c r="M234" s="6" t="s">
        <v>27</v>
      </c>
      <c r="N234" s="6" t="s">
        <v>27</v>
      </c>
      <c r="O234" s="6" t="s">
        <v>27</v>
      </c>
      <c r="P234" s="6" t="s">
        <v>27</v>
      </c>
      <c r="Q234" s="6"/>
      <c r="R234" s="33">
        <f t="shared" si="5"/>
        <v>2023</v>
      </c>
      <c r="S234" s="33"/>
    </row>
    <row r="235" spans="1:19" ht="14.5" x14ac:dyDescent="0.35">
      <c r="A235" s="7" t="s">
        <v>454</v>
      </c>
      <c r="B235" s="7" t="s">
        <v>455</v>
      </c>
      <c r="C235" s="7" t="s">
        <v>37</v>
      </c>
      <c r="D235" s="7" t="s">
        <v>1777</v>
      </c>
      <c r="E235" s="7" t="s">
        <v>1183</v>
      </c>
      <c r="F235" s="8" t="s">
        <v>25</v>
      </c>
      <c r="G235" s="60">
        <v>12750</v>
      </c>
      <c r="H235" s="6" t="s">
        <v>1475</v>
      </c>
      <c r="I235" s="6" t="s">
        <v>27</v>
      </c>
      <c r="J235" s="6" t="s">
        <v>27</v>
      </c>
      <c r="K235" s="6" t="s">
        <v>27</v>
      </c>
      <c r="L235" s="6" t="s">
        <v>27</v>
      </c>
      <c r="M235" s="6" t="s">
        <v>27</v>
      </c>
      <c r="N235" s="6" t="s">
        <v>27</v>
      </c>
      <c r="O235" s="6" t="s">
        <v>27</v>
      </c>
      <c r="P235" s="6" t="s">
        <v>27</v>
      </c>
      <c r="Q235" s="6"/>
      <c r="R235" s="33">
        <f t="shared" si="5"/>
        <v>2023</v>
      </c>
      <c r="S235" s="33"/>
    </row>
    <row r="236" spans="1:19" ht="14.5" x14ac:dyDescent="0.35">
      <c r="A236" s="7" t="s">
        <v>1761</v>
      </c>
      <c r="B236" s="7" t="s">
        <v>426</v>
      </c>
      <c r="C236" s="7" t="s">
        <v>37</v>
      </c>
      <c r="D236" s="7" t="s">
        <v>1778</v>
      </c>
      <c r="E236" s="7" t="s">
        <v>1779</v>
      </c>
      <c r="F236" s="8" t="s">
        <v>25</v>
      </c>
      <c r="G236" s="60">
        <v>5150</v>
      </c>
      <c r="H236" s="6" t="s">
        <v>1475</v>
      </c>
      <c r="I236" s="6" t="s">
        <v>27</v>
      </c>
      <c r="J236" s="6" t="s">
        <v>27</v>
      </c>
      <c r="K236" s="6" t="s">
        <v>27</v>
      </c>
      <c r="L236" s="6" t="s">
        <v>27</v>
      </c>
      <c r="M236" s="6" t="s">
        <v>27</v>
      </c>
      <c r="N236" s="6" t="s">
        <v>27</v>
      </c>
      <c r="O236" s="6" t="s">
        <v>27</v>
      </c>
      <c r="P236" s="6" t="s">
        <v>27</v>
      </c>
      <c r="Q236" s="6"/>
      <c r="R236" s="33">
        <f t="shared" si="5"/>
        <v>2023</v>
      </c>
      <c r="S236" s="33"/>
    </row>
    <row r="237" spans="1:19" ht="14.5" x14ac:dyDescent="0.35">
      <c r="A237" s="7" t="s">
        <v>1114</v>
      </c>
      <c r="B237" s="7" t="s">
        <v>426</v>
      </c>
      <c r="C237" s="7" t="s">
        <v>37</v>
      </c>
      <c r="D237" s="7" t="s">
        <v>1780</v>
      </c>
      <c r="E237" s="7" t="s">
        <v>1781</v>
      </c>
      <c r="F237" s="8" t="s">
        <v>25</v>
      </c>
      <c r="G237" s="60">
        <v>3500</v>
      </c>
      <c r="H237" s="6" t="s">
        <v>1475</v>
      </c>
      <c r="I237" s="6" t="s">
        <v>27</v>
      </c>
      <c r="J237" s="6" t="s">
        <v>27</v>
      </c>
      <c r="K237" s="6" t="s">
        <v>27</v>
      </c>
      <c r="L237" s="6" t="s">
        <v>27</v>
      </c>
      <c r="M237" s="6" t="s">
        <v>27</v>
      </c>
      <c r="N237" s="6" t="s">
        <v>27</v>
      </c>
      <c r="O237" s="6" t="s">
        <v>27</v>
      </c>
      <c r="P237" s="6" t="s">
        <v>27</v>
      </c>
      <c r="Q237" s="6"/>
      <c r="R237" s="33">
        <f t="shared" si="5"/>
        <v>2023</v>
      </c>
      <c r="S237" s="33"/>
    </row>
    <row r="238" spans="1:19" ht="14.5" x14ac:dyDescent="0.35">
      <c r="A238" s="7" t="s">
        <v>454</v>
      </c>
      <c r="B238" s="7" t="s">
        <v>455</v>
      </c>
      <c r="C238" s="7" t="s">
        <v>37</v>
      </c>
      <c r="D238" s="7" t="s">
        <v>1782</v>
      </c>
      <c r="E238" s="7" t="s">
        <v>662</v>
      </c>
      <c r="F238" s="8" t="s">
        <v>25</v>
      </c>
      <c r="G238" s="60">
        <v>3500</v>
      </c>
      <c r="H238" s="6" t="s">
        <v>749</v>
      </c>
      <c r="I238" s="175"/>
      <c r="J238" s="175"/>
      <c r="K238" s="175"/>
      <c r="L238" s="175"/>
      <c r="M238" s="175"/>
      <c r="N238" s="175"/>
      <c r="O238" s="175"/>
      <c r="P238" s="175"/>
      <c r="Q238" s="6"/>
      <c r="R238" s="33">
        <f t="shared" si="5"/>
        <v>2023</v>
      </c>
      <c r="S238" s="33"/>
    </row>
    <row r="239" spans="1:19" ht="14.5" x14ac:dyDescent="0.35">
      <c r="A239" s="7" t="s">
        <v>1114</v>
      </c>
      <c r="B239" s="7" t="s">
        <v>426</v>
      </c>
      <c r="C239" s="7" t="s">
        <v>37</v>
      </c>
      <c r="D239" s="7" t="s">
        <v>1784</v>
      </c>
      <c r="E239" s="7" t="s">
        <v>1785</v>
      </c>
      <c r="F239" s="8" t="s">
        <v>25</v>
      </c>
      <c r="G239" s="60">
        <v>390158</v>
      </c>
      <c r="H239" s="6" t="s">
        <v>1475</v>
      </c>
      <c r="I239" s="6" t="s">
        <v>27</v>
      </c>
      <c r="J239" s="6" t="s">
        <v>27</v>
      </c>
      <c r="K239" s="6" t="s">
        <v>27</v>
      </c>
      <c r="L239" s="6" t="s">
        <v>27</v>
      </c>
      <c r="M239" s="6" t="s">
        <v>27</v>
      </c>
      <c r="N239" s="6" t="s">
        <v>27</v>
      </c>
      <c r="O239" s="6" t="s">
        <v>27</v>
      </c>
      <c r="P239" s="6" t="s">
        <v>27</v>
      </c>
      <c r="Q239" s="6"/>
      <c r="R239" s="33">
        <f t="shared" si="5"/>
        <v>2023</v>
      </c>
      <c r="S239" s="33"/>
    </row>
    <row r="240" spans="1:19" ht="14.5" x14ac:dyDescent="0.35">
      <c r="A240" s="7" t="s">
        <v>1786</v>
      </c>
      <c r="B240" s="7" t="s">
        <v>435</v>
      </c>
      <c r="C240" s="7" t="s">
        <v>82</v>
      </c>
      <c r="D240" s="7" t="s">
        <v>1787</v>
      </c>
      <c r="E240" s="7" t="s">
        <v>1788</v>
      </c>
      <c r="F240" s="8" t="s">
        <v>53</v>
      </c>
      <c r="G240" s="60">
        <v>82200</v>
      </c>
      <c r="H240" s="6" t="s">
        <v>1475</v>
      </c>
      <c r="I240" s="6" t="s">
        <v>27</v>
      </c>
      <c r="J240" s="6" t="s">
        <v>27</v>
      </c>
      <c r="K240" s="6" t="s">
        <v>27</v>
      </c>
      <c r="L240" s="6" t="s">
        <v>27</v>
      </c>
      <c r="M240" s="6" t="s">
        <v>27</v>
      </c>
      <c r="N240" s="6" t="s">
        <v>27</v>
      </c>
      <c r="O240" s="6" t="s">
        <v>27</v>
      </c>
      <c r="P240" s="6" t="s">
        <v>27</v>
      </c>
      <c r="Q240" s="6"/>
      <c r="R240" s="33">
        <f t="shared" si="5"/>
        <v>2023</v>
      </c>
      <c r="S240" s="33"/>
    </row>
    <row r="241" spans="1:19" ht="14.5" x14ac:dyDescent="0.35">
      <c r="A241" s="7" t="s">
        <v>1114</v>
      </c>
      <c r="B241" s="7" t="s">
        <v>1408</v>
      </c>
      <c r="C241" s="39" t="s">
        <v>37</v>
      </c>
      <c r="D241" s="7" t="s">
        <v>1773</v>
      </c>
      <c r="E241" s="7" t="s">
        <v>1789</v>
      </c>
      <c r="F241" s="8"/>
      <c r="G241" s="60"/>
      <c r="H241" s="6" t="s">
        <v>1475</v>
      </c>
      <c r="I241" s="6" t="s">
        <v>27</v>
      </c>
      <c r="J241" s="6" t="s">
        <v>27</v>
      </c>
      <c r="K241" s="6" t="s">
        <v>27</v>
      </c>
      <c r="L241" s="6" t="s">
        <v>27</v>
      </c>
      <c r="M241" s="6" t="s">
        <v>27</v>
      </c>
      <c r="N241" s="6" t="s">
        <v>27</v>
      </c>
      <c r="O241" s="6" t="s">
        <v>27</v>
      </c>
      <c r="P241" s="6" t="s">
        <v>27</v>
      </c>
      <c r="Q241" s="6"/>
      <c r="R241" s="33">
        <f t="shared" si="5"/>
        <v>2023</v>
      </c>
      <c r="S241" s="33"/>
    </row>
    <row r="242" spans="1:19" ht="14.5" x14ac:dyDescent="0.35">
      <c r="A242" s="7" t="s">
        <v>1114</v>
      </c>
      <c r="B242" s="7" t="s">
        <v>1408</v>
      </c>
      <c r="C242" s="39" t="s">
        <v>37</v>
      </c>
      <c r="D242" s="7" t="s">
        <v>1513</v>
      </c>
      <c r="E242" s="7" t="s">
        <v>1790</v>
      </c>
      <c r="F242" s="8"/>
      <c r="G242" s="60"/>
      <c r="H242" s="6" t="s">
        <v>1475</v>
      </c>
      <c r="I242" s="6" t="s">
        <v>27</v>
      </c>
      <c r="J242" s="6" t="s">
        <v>27</v>
      </c>
      <c r="K242" s="6" t="s">
        <v>27</v>
      </c>
      <c r="L242" s="6" t="s">
        <v>27</v>
      </c>
      <c r="M242" s="6" t="s">
        <v>27</v>
      </c>
      <c r="N242" s="6" t="s">
        <v>27</v>
      </c>
      <c r="O242" s="6" t="s">
        <v>27</v>
      </c>
      <c r="P242" s="6" t="s">
        <v>27</v>
      </c>
      <c r="Q242" s="6"/>
      <c r="R242" s="33">
        <f t="shared" si="5"/>
        <v>2023</v>
      </c>
      <c r="S242" s="33"/>
    </row>
    <row r="243" spans="1:19" ht="14.5" x14ac:dyDescent="0.35">
      <c r="A243" s="7" t="s">
        <v>1114</v>
      </c>
      <c r="B243" s="7" t="s">
        <v>426</v>
      </c>
      <c r="C243" s="7" t="s">
        <v>37</v>
      </c>
      <c r="D243" s="7" t="s">
        <v>1778</v>
      </c>
      <c r="E243" s="7" t="s">
        <v>1779</v>
      </c>
      <c r="F243" s="8"/>
      <c r="G243" s="60"/>
      <c r="H243" s="6" t="s">
        <v>749</v>
      </c>
      <c r="I243" s="175"/>
      <c r="J243" s="175"/>
      <c r="K243" s="175"/>
      <c r="L243" s="175"/>
      <c r="M243" s="175"/>
      <c r="N243" s="175"/>
      <c r="O243" s="175"/>
      <c r="P243" s="175"/>
      <c r="Q243" s="6"/>
      <c r="R243" s="33">
        <f t="shared" si="5"/>
        <v>2023</v>
      </c>
      <c r="S243" s="33"/>
    </row>
    <row r="244" spans="1:19" ht="14.5" x14ac:dyDescent="0.35">
      <c r="A244" s="7" t="s">
        <v>1149</v>
      </c>
      <c r="B244" s="7" t="s">
        <v>1152</v>
      </c>
      <c r="C244" s="7" t="s">
        <v>82</v>
      </c>
      <c r="D244" s="7" t="s">
        <v>1543</v>
      </c>
      <c r="E244" s="7" t="s">
        <v>1183</v>
      </c>
      <c r="F244" s="8"/>
      <c r="G244" s="60"/>
      <c r="H244" s="6" t="s">
        <v>749</v>
      </c>
      <c r="I244" s="175"/>
      <c r="J244" s="175"/>
      <c r="K244" s="175"/>
      <c r="L244" s="175"/>
      <c r="M244" s="175"/>
      <c r="N244" s="175"/>
      <c r="O244" s="175"/>
      <c r="P244" s="175"/>
      <c r="Q244" s="6"/>
      <c r="R244" s="33">
        <f t="shared" si="5"/>
        <v>2024</v>
      </c>
      <c r="S244" s="33"/>
    </row>
    <row r="245" spans="1:19" ht="14.5" x14ac:dyDescent="0.35">
      <c r="A245" s="7" t="s">
        <v>1149</v>
      </c>
      <c r="B245" s="7" t="s">
        <v>1152</v>
      </c>
      <c r="C245" s="7" t="s">
        <v>82</v>
      </c>
      <c r="D245" s="7" t="s">
        <v>1791</v>
      </c>
      <c r="E245" s="7" t="s">
        <v>1607</v>
      </c>
      <c r="F245" s="8"/>
      <c r="G245" s="60"/>
      <c r="H245" s="6" t="s">
        <v>749</v>
      </c>
      <c r="I245" s="175"/>
      <c r="J245" s="175"/>
      <c r="K245" s="175"/>
      <c r="L245" s="175"/>
      <c r="M245" s="175"/>
      <c r="N245" s="175"/>
      <c r="O245" s="175"/>
      <c r="P245" s="175"/>
      <c r="Q245" s="6"/>
      <c r="R245" s="33">
        <f t="shared" si="5"/>
        <v>2024</v>
      </c>
      <c r="S245" s="33"/>
    </row>
    <row r="246" spans="1:19" ht="14.5" x14ac:dyDescent="0.35">
      <c r="A246" s="7" t="s">
        <v>1792</v>
      </c>
      <c r="B246" s="7" t="s">
        <v>396</v>
      </c>
      <c r="C246" s="7" t="s">
        <v>48</v>
      </c>
      <c r="D246" s="7" t="s">
        <v>1497</v>
      </c>
      <c r="E246" s="7" t="s">
        <v>1745</v>
      </c>
      <c r="F246" s="8"/>
      <c r="G246" s="60"/>
      <c r="H246" s="6" t="s">
        <v>1475</v>
      </c>
      <c r="I246" s="6" t="s">
        <v>27</v>
      </c>
      <c r="J246" s="6" t="s">
        <v>27</v>
      </c>
      <c r="K246" s="6" t="s">
        <v>27</v>
      </c>
      <c r="L246" s="6" t="s">
        <v>27</v>
      </c>
      <c r="M246" s="6" t="s">
        <v>27</v>
      </c>
      <c r="N246" s="6" t="s">
        <v>27</v>
      </c>
      <c r="O246" s="6" t="s">
        <v>27</v>
      </c>
      <c r="P246" s="6" t="s">
        <v>27</v>
      </c>
      <c r="Q246" s="6"/>
      <c r="R246" s="33">
        <f t="shared" si="5"/>
        <v>2024</v>
      </c>
      <c r="S246" s="33"/>
    </row>
    <row r="247" spans="1:19" ht="14.5" x14ac:dyDescent="0.35">
      <c r="A247" s="7" t="s">
        <v>1792</v>
      </c>
      <c r="B247" s="7" t="s">
        <v>396</v>
      </c>
      <c r="C247" s="7" t="s">
        <v>48</v>
      </c>
      <c r="D247" s="7" t="s">
        <v>1497</v>
      </c>
      <c r="E247" s="7" t="s">
        <v>1745</v>
      </c>
      <c r="F247" s="8"/>
      <c r="G247" s="60"/>
      <c r="H247" s="6" t="s">
        <v>1475</v>
      </c>
      <c r="I247" s="6" t="s">
        <v>27</v>
      </c>
      <c r="J247" s="6" t="s">
        <v>27</v>
      </c>
      <c r="K247" s="6" t="s">
        <v>27</v>
      </c>
      <c r="L247" s="6" t="s">
        <v>27</v>
      </c>
      <c r="M247" s="6" t="s">
        <v>27</v>
      </c>
      <c r="N247" s="6" t="s">
        <v>27</v>
      </c>
      <c r="O247" s="6" t="s">
        <v>27</v>
      </c>
      <c r="P247" s="6" t="s">
        <v>27</v>
      </c>
      <c r="Q247" s="6"/>
      <c r="R247" s="33">
        <f t="shared" ref="R247:R297" si="6">IFERROR(2000+VALUE(LEFT(A247,2)),"")</f>
        <v>2024</v>
      </c>
      <c r="S247" s="33"/>
    </row>
    <row r="248" spans="1:19" ht="14.5" x14ac:dyDescent="0.35">
      <c r="A248" s="7" t="s">
        <v>1162</v>
      </c>
      <c r="B248" s="7" t="s">
        <v>386</v>
      </c>
      <c r="C248" s="7" t="s">
        <v>37</v>
      </c>
      <c r="D248" s="7" t="s">
        <v>1793</v>
      </c>
      <c r="E248" s="7" t="s">
        <v>731</v>
      </c>
      <c r="F248" s="8"/>
      <c r="G248" s="60"/>
      <c r="H248" s="6" t="s">
        <v>1475</v>
      </c>
      <c r="I248" s="6" t="s">
        <v>27</v>
      </c>
      <c r="J248" s="6" t="s">
        <v>27</v>
      </c>
      <c r="K248" s="6" t="s">
        <v>27</v>
      </c>
      <c r="L248" s="6" t="s">
        <v>27</v>
      </c>
      <c r="M248" s="6" t="s">
        <v>27</v>
      </c>
      <c r="N248" s="6" t="s">
        <v>27</v>
      </c>
      <c r="O248" s="6" t="s">
        <v>27</v>
      </c>
      <c r="P248" s="6" t="s">
        <v>27</v>
      </c>
      <c r="Q248" s="6"/>
      <c r="R248" s="33">
        <f t="shared" si="6"/>
        <v>2024</v>
      </c>
      <c r="S248" s="33"/>
    </row>
    <row r="249" spans="1:19" ht="14.5" x14ac:dyDescent="0.35">
      <c r="A249" s="7" t="s">
        <v>1162</v>
      </c>
      <c r="B249" s="7" t="s">
        <v>386</v>
      </c>
      <c r="C249" s="7" t="s">
        <v>37</v>
      </c>
      <c r="D249" s="7" t="s">
        <v>1794</v>
      </c>
      <c r="E249" s="7" t="s">
        <v>680</v>
      </c>
      <c r="F249" s="8"/>
      <c r="G249" s="60"/>
      <c r="H249" s="6" t="s">
        <v>1475</v>
      </c>
      <c r="I249" s="6" t="s">
        <v>27</v>
      </c>
      <c r="J249" s="6" t="s">
        <v>27</v>
      </c>
      <c r="K249" s="6" t="s">
        <v>27</v>
      </c>
      <c r="L249" s="6" t="s">
        <v>27</v>
      </c>
      <c r="M249" s="6" t="s">
        <v>27</v>
      </c>
      <c r="N249" s="6" t="s">
        <v>27</v>
      </c>
      <c r="O249" s="6" t="s">
        <v>27</v>
      </c>
      <c r="P249" s="6" t="s">
        <v>27</v>
      </c>
      <c r="Q249" s="6"/>
      <c r="R249" s="33">
        <f t="shared" si="6"/>
        <v>2024</v>
      </c>
      <c r="S249" s="33"/>
    </row>
    <row r="250" spans="1:19" ht="14.5" x14ac:dyDescent="0.35">
      <c r="A250" s="7" t="s">
        <v>1162</v>
      </c>
      <c r="B250" s="7" t="s">
        <v>386</v>
      </c>
      <c r="C250" s="7" t="s">
        <v>37</v>
      </c>
      <c r="D250" s="7" t="s">
        <v>1501</v>
      </c>
      <c r="E250" s="7" t="s">
        <v>1696</v>
      </c>
      <c r="F250" s="8"/>
      <c r="G250" s="60"/>
      <c r="H250" s="6" t="s">
        <v>1475</v>
      </c>
      <c r="I250" s="6" t="s">
        <v>27</v>
      </c>
      <c r="J250" s="6" t="s">
        <v>27</v>
      </c>
      <c r="K250" s="6" t="s">
        <v>27</v>
      </c>
      <c r="L250" s="6" t="s">
        <v>27</v>
      </c>
      <c r="M250" s="6" t="s">
        <v>27</v>
      </c>
      <c r="N250" s="6" t="s">
        <v>27</v>
      </c>
      <c r="O250" s="6" t="s">
        <v>27</v>
      </c>
      <c r="P250" s="6" t="s">
        <v>27</v>
      </c>
      <c r="Q250" s="6"/>
      <c r="R250" s="33">
        <f t="shared" si="6"/>
        <v>2024</v>
      </c>
      <c r="S250" s="33"/>
    </row>
    <row r="251" spans="1:19" ht="14.5" x14ac:dyDescent="0.35">
      <c r="A251" s="7" t="s">
        <v>1162</v>
      </c>
      <c r="B251" s="7" t="s">
        <v>386</v>
      </c>
      <c r="C251" s="7" t="s">
        <v>37</v>
      </c>
      <c r="D251" s="7" t="s">
        <v>1795</v>
      </c>
      <c r="E251" s="7" t="s">
        <v>1796</v>
      </c>
      <c r="F251" s="8"/>
      <c r="G251" s="60"/>
      <c r="H251" s="6" t="s">
        <v>1475</v>
      </c>
      <c r="I251" s="6" t="s">
        <v>27</v>
      </c>
      <c r="J251" s="6" t="s">
        <v>27</v>
      </c>
      <c r="K251" s="6" t="s">
        <v>27</v>
      </c>
      <c r="L251" s="6" t="s">
        <v>27</v>
      </c>
      <c r="M251" s="6" t="s">
        <v>27</v>
      </c>
      <c r="N251" s="6" t="s">
        <v>27</v>
      </c>
      <c r="O251" s="6" t="s">
        <v>27</v>
      </c>
      <c r="P251" s="6" t="s">
        <v>27</v>
      </c>
      <c r="Q251" s="6"/>
      <c r="R251" s="33">
        <f t="shared" si="6"/>
        <v>2024</v>
      </c>
      <c r="S251" s="33"/>
    </row>
    <row r="252" spans="1:19" ht="14.5" x14ac:dyDescent="0.35">
      <c r="A252" s="7" t="s">
        <v>1797</v>
      </c>
      <c r="B252" s="7" t="s">
        <v>340</v>
      </c>
      <c r="C252" s="7" t="s">
        <v>48</v>
      </c>
      <c r="D252" s="7" t="s">
        <v>1798</v>
      </c>
      <c r="E252" s="7" t="s">
        <v>1722</v>
      </c>
      <c r="F252" s="8"/>
      <c r="G252" s="60"/>
      <c r="H252" s="6" t="s">
        <v>1475</v>
      </c>
      <c r="I252" s="6" t="s">
        <v>27</v>
      </c>
      <c r="J252" s="6" t="s">
        <v>27</v>
      </c>
      <c r="K252" s="6" t="s">
        <v>27</v>
      </c>
      <c r="L252" s="6" t="s">
        <v>27</v>
      </c>
      <c r="M252" s="6" t="s">
        <v>27</v>
      </c>
      <c r="N252" s="6" t="s">
        <v>27</v>
      </c>
      <c r="O252" s="6" t="s">
        <v>27</v>
      </c>
      <c r="P252" s="6" t="s">
        <v>27</v>
      </c>
      <c r="Q252" s="6"/>
      <c r="R252" s="33">
        <f t="shared" si="6"/>
        <v>2024</v>
      </c>
      <c r="S252" s="33"/>
    </row>
    <row r="253" spans="1:19" ht="14.5" x14ac:dyDescent="0.35">
      <c r="A253" s="7" t="s">
        <v>1797</v>
      </c>
      <c r="B253" s="7" t="s">
        <v>340</v>
      </c>
      <c r="C253" s="7" t="s">
        <v>48</v>
      </c>
      <c r="D253" s="7" t="s">
        <v>1799</v>
      </c>
      <c r="E253" s="7" t="s">
        <v>1020</v>
      </c>
      <c r="F253" s="8"/>
      <c r="G253" s="60"/>
      <c r="H253" s="6" t="s">
        <v>1475</v>
      </c>
      <c r="I253" s="6" t="s">
        <v>27</v>
      </c>
      <c r="J253" s="6" t="s">
        <v>27</v>
      </c>
      <c r="K253" s="6" t="s">
        <v>27</v>
      </c>
      <c r="L253" s="6" t="s">
        <v>27</v>
      </c>
      <c r="M253" s="6" t="s">
        <v>27</v>
      </c>
      <c r="N253" s="6" t="s">
        <v>27</v>
      </c>
      <c r="O253" s="6" t="s">
        <v>27</v>
      </c>
      <c r="P253" s="6" t="s">
        <v>27</v>
      </c>
      <c r="Q253" s="6"/>
      <c r="R253" s="33">
        <f t="shared" si="6"/>
        <v>2024</v>
      </c>
      <c r="S253" s="33"/>
    </row>
    <row r="254" spans="1:19" ht="14.5" x14ac:dyDescent="0.35">
      <c r="A254" s="7" t="s">
        <v>1800</v>
      </c>
      <c r="B254" s="7" t="s">
        <v>383</v>
      </c>
      <c r="C254" s="7" t="s">
        <v>48</v>
      </c>
      <c r="D254" s="7" t="s">
        <v>1801</v>
      </c>
      <c r="E254" s="7" t="s">
        <v>1802</v>
      </c>
      <c r="F254" s="8"/>
      <c r="G254" s="60"/>
      <c r="H254" s="6" t="s">
        <v>749</v>
      </c>
      <c r="I254" s="175"/>
      <c r="J254" s="175"/>
      <c r="K254" s="175"/>
      <c r="L254" s="175"/>
      <c r="M254" s="175"/>
      <c r="N254" s="175"/>
      <c r="O254" s="175"/>
      <c r="P254" s="175"/>
      <c r="Q254" s="6"/>
      <c r="R254" s="33">
        <f t="shared" si="6"/>
        <v>2024</v>
      </c>
      <c r="S254" s="33"/>
    </row>
    <row r="255" spans="1:19" ht="14.5" x14ac:dyDescent="0.35">
      <c r="A255" s="7" t="s">
        <v>1800</v>
      </c>
      <c r="B255" s="7" t="s">
        <v>383</v>
      </c>
      <c r="C255" s="7" t="s">
        <v>48</v>
      </c>
      <c r="D255" s="7" t="s">
        <v>1801</v>
      </c>
      <c r="E255" s="7" t="s">
        <v>1802</v>
      </c>
      <c r="F255" s="8"/>
      <c r="G255" s="60"/>
      <c r="H255" s="6" t="s">
        <v>1475</v>
      </c>
      <c r="I255" s="6" t="s">
        <v>27</v>
      </c>
      <c r="J255" s="6" t="s">
        <v>27</v>
      </c>
      <c r="K255" s="6" t="s">
        <v>27</v>
      </c>
      <c r="L255" s="6" t="s">
        <v>27</v>
      </c>
      <c r="M255" s="6" t="s">
        <v>27</v>
      </c>
      <c r="N255" s="6" t="s">
        <v>27</v>
      </c>
      <c r="O255" s="6" t="s">
        <v>27</v>
      </c>
      <c r="P255" s="6" t="s">
        <v>27</v>
      </c>
      <c r="Q255" s="6"/>
      <c r="R255" s="33">
        <f t="shared" si="6"/>
        <v>2024</v>
      </c>
      <c r="S255" s="33"/>
    </row>
    <row r="256" spans="1:19" ht="14.5" x14ac:dyDescent="0.35">
      <c r="A256" s="7" t="s">
        <v>244</v>
      </c>
      <c r="B256" s="7" t="s">
        <v>1803</v>
      </c>
      <c r="C256" s="7" t="s">
        <v>42</v>
      </c>
      <c r="D256" s="7" t="s">
        <v>1497</v>
      </c>
      <c r="E256" s="7" t="s">
        <v>1804</v>
      </c>
      <c r="F256" s="8"/>
      <c r="G256" s="60"/>
      <c r="H256" s="6" t="s">
        <v>1475</v>
      </c>
      <c r="I256" s="6" t="s">
        <v>27</v>
      </c>
      <c r="J256" s="6" t="s">
        <v>27</v>
      </c>
      <c r="K256" s="6" t="s">
        <v>27</v>
      </c>
      <c r="L256" s="6" t="s">
        <v>27</v>
      </c>
      <c r="M256" s="6" t="s">
        <v>27</v>
      </c>
      <c r="N256" s="6" t="s">
        <v>27</v>
      </c>
      <c r="O256" s="6" t="s">
        <v>27</v>
      </c>
      <c r="P256" s="6" t="s">
        <v>27</v>
      </c>
      <c r="Q256" s="6"/>
      <c r="R256" s="33">
        <f t="shared" si="6"/>
        <v>2024</v>
      </c>
      <c r="S256" s="33"/>
    </row>
    <row r="257" spans="1:19" ht="14.5" x14ac:dyDescent="0.35">
      <c r="A257" s="7" t="s">
        <v>1800</v>
      </c>
      <c r="B257" s="7" t="s">
        <v>383</v>
      </c>
      <c r="C257" s="7" t="s">
        <v>48</v>
      </c>
      <c r="D257" s="7" t="s">
        <v>1625</v>
      </c>
      <c r="E257" s="7" t="s">
        <v>1805</v>
      </c>
      <c r="F257" s="8"/>
      <c r="G257" s="60"/>
      <c r="H257" s="6" t="s">
        <v>1475</v>
      </c>
      <c r="I257" s="6" t="s">
        <v>27</v>
      </c>
      <c r="J257" s="6" t="s">
        <v>27</v>
      </c>
      <c r="K257" s="6" t="s">
        <v>27</v>
      </c>
      <c r="L257" s="6" t="s">
        <v>27</v>
      </c>
      <c r="M257" s="6" t="s">
        <v>27</v>
      </c>
      <c r="N257" s="6" t="s">
        <v>27</v>
      </c>
      <c r="O257" s="6" t="s">
        <v>27</v>
      </c>
      <c r="P257" s="6" t="s">
        <v>27</v>
      </c>
      <c r="Q257" s="6"/>
      <c r="R257" s="33">
        <f t="shared" si="6"/>
        <v>2024</v>
      </c>
      <c r="S257" s="33"/>
    </row>
    <row r="258" spans="1:19" ht="14.5" x14ac:dyDescent="0.35">
      <c r="A258" s="7" t="s">
        <v>1797</v>
      </c>
      <c r="B258" s="7" t="s">
        <v>340</v>
      </c>
      <c r="C258" s="7" t="s">
        <v>48</v>
      </c>
      <c r="D258" s="7" t="s">
        <v>1806</v>
      </c>
      <c r="E258" s="7" t="s">
        <v>1790</v>
      </c>
      <c r="F258" s="8"/>
      <c r="G258" s="60"/>
      <c r="H258" s="6" t="s">
        <v>1475</v>
      </c>
      <c r="I258" s="6" t="s">
        <v>27</v>
      </c>
      <c r="J258" s="6" t="s">
        <v>27</v>
      </c>
      <c r="K258" s="6" t="s">
        <v>27</v>
      </c>
      <c r="L258" s="6" t="s">
        <v>27</v>
      </c>
      <c r="M258" s="6" t="s">
        <v>27</v>
      </c>
      <c r="N258" s="6" t="s">
        <v>27</v>
      </c>
      <c r="O258" s="6" t="s">
        <v>27</v>
      </c>
      <c r="P258" s="6" t="s">
        <v>27</v>
      </c>
      <c r="Q258" s="6"/>
      <c r="R258" s="33">
        <f t="shared" si="6"/>
        <v>2024</v>
      </c>
      <c r="S258" s="33"/>
    </row>
    <row r="259" spans="1:19" ht="14.5" x14ac:dyDescent="0.35">
      <c r="A259" s="7" t="s">
        <v>1162</v>
      </c>
      <c r="B259" s="7" t="s">
        <v>386</v>
      </c>
      <c r="C259" s="7" t="s">
        <v>37</v>
      </c>
      <c r="D259" s="7" t="s">
        <v>1807</v>
      </c>
      <c r="E259" s="7" t="s">
        <v>1808</v>
      </c>
      <c r="F259" s="8"/>
      <c r="G259" s="60"/>
      <c r="H259" s="6" t="s">
        <v>1475</v>
      </c>
      <c r="I259" s="6" t="s">
        <v>27</v>
      </c>
      <c r="J259" s="6" t="s">
        <v>27</v>
      </c>
      <c r="K259" s="6" t="s">
        <v>27</v>
      </c>
      <c r="L259" s="6" t="s">
        <v>27</v>
      </c>
      <c r="M259" s="6" t="s">
        <v>27</v>
      </c>
      <c r="N259" s="6" t="s">
        <v>27</v>
      </c>
      <c r="O259" s="6" t="s">
        <v>27</v>
      </c>
      <c r="P259" s="6" t="s">
        <v>27</v>
      </c>
      <c r="Q259" s="6"/>
      <c r="R259" s="33">
        <f t="shared" si="6"/>
        <v>2024</v>
      </c>
      <c r="S259" s="33"/>
    </row>
    <row r="260" spans="1:19" ht="14.5" x14ac:dyDescent="0.35">
      <c r="A260" s="7" t="s">
        <v>328</v>
      </c>
      <c r="B260" s="7" t="s">
        <v>329</v>
      </c>
      <c r="C260" s="7" t="s">
        <v>48</v>
      </c>
      <c r="D260" s="7" t="s">
        <v>1497</v>
      </c>
      <c r="E260" s="7" t="s">
        <v>1745</v>
      </c>
      <c r="F260" s="8"/>
      <c r="G260" s="60"/>
      <c r="H260" s="6" t="s">
        <v>1475</v>
      </c>
      <c r="I260" s="6" t="s">
        <v>27</v>
      </c>
      <c r="J260" s="6" t="s">
        <v>27</v>
      </c>
      <c r="K260" s="6" t="s">
        <v>27</v>
      </c>
      <c r="L260" s="6" t="s">
        <v>27</v>
      </c>
      <c r="M260" s="6" t="s">
        <v>27</v>
      </c>
      <c r="N260" s="6" t="s">
        <v>27</v>
      </c>
      <c r="O260" s="6" t="s">
        <v>27</v>
      </c>
      <c r="P260" s="6" t="s">
        <v>27</v>
      </c>
      <c r="Q260" s="6"/>
      <c r="R260" s="33">
        <f t="shared" si="6"/>
        <v>2024</v>
      </c>
      <c r="S260" s="33"/>
    </row>
    <row r="261" spans="1:19" ht="14.5" x14ac:dyDescent="0.35">
      <c r="A261" s="7" t="s">
        <v>1800</v>
      </c>
      <c r="B261" s="7" t="s">
        <v>383</v>
      </c>
      <c r="C261" s="7" t="s">
        <v>48</v>
      </c>
      <c r="D261" s="7" t="s">
        <v>1809</v>
      </c>
      <c r="E261" s="7" t="s">
        <v>1810</v>
      </c>
      <c r="F261" s="8"/>
      <c r="G261" s="60"/>
      <c r="H261" s="6" t="s">
        <v>1475</v>
      </c>
      <c r="I261" s="6" t="s">
        <v>27</v>
      </c>
      <c r="J261" s="6" t="s">
        <v>27</v>
      </c>
      <c r="K261" s="6" t="s">
        <v>27</v>
      </c>
      <c r="L261" s="6" t="s">
        <v>27</v>
      </c>
      <c r="M261" s="6" t="s">
        <v>27</v>
      </c>
      <c r="N261" s="6" t="s">
        <v>27</v>
      </c>
      <c r="O261" s="6" t="s">
        <v>27</v>
      </c>
      <c r="P261" s="6" t="s">
        <v>27</v>
      </c>
      <c r="Q261" s="6"/>
      <c r="R261" s="33">
        <f t="shared" si="6"/>
        <v>2024</v>
      </c>
      <c r="S261" s="33"/>
    </row>
    <row r="262" spans="1:19" ht="14.5" x14ac:dyDescent="0.35">
      <c r="A262" s="7" t="s">
        <v>1800</v>
      </c>
      <c r="B262" s="7" t="s">
        <v>383</v>
      </c>
      <c r="C262" s="7" t="s">
        <v>48</v>
      </c>
      <c r="D262" s="7" t="s">
        <v>1625</v>
      </c>
      <c r="E262" s="7" t="s">
        <v>1805</v>
      </c>
      <c r="F262" s="8"/>
      <c r="G262" s="60"/>
      <c r="H262" s="6" t="s">
        <v>1475</v>
      </c>
      <c r="I262" s="6" t="s">
        <v>27</v>
      </c>
      <c r="J262" s="6" t="s">
        <v>27</v>
      </c>
      <c r="K262" s="6" t="s">
        <v>27</v>
      </c>
      <c r="L262" s="6" t="s">
        <v>27</v>
      </c>
      <c r="M262" s="6" t="s">
        <v>27</v>
      </c>
      <c r="N262" s="6" t="s">
        <v>27</v>
      </c>
      <c r="O262" s="6" t="s">
        <v>27</v>
      </c>
      <c r="P262" s="6" t="s">
        <v>27</v>
      </c>
      <c r="Q262" s="6"/>
      <c r="R262" s="33">
        <f t="shared" si="6"/>
        <v>2024</v>
      </c>
      <c r="S262" s="33"/>
    </row>
    <row r="263" spans="1:19" ht="14.5" x14ac:dyDescent="0.35">
      <c r="A263" s="7" t="s">
        <v>367</v>
      </c>
      <c r="B263" s="7" t="s">
        <v>368</v>
      </c>
      <c r="C263" s="7" t="s">
        <v>42</v>
      </c>
      <c r="D263" s="7" t="s">
        <v>1811</v>
      </c>
      <c r="E263" s="7" t="s">
        <v>1812</v>
      </c>
      <c r="F263" s="8" t="s">
        <v>25</v>
      </c>
      <c r="G263" s="60">
        <v>85000</v>
      </c>
      <c r="H263" s="6" t="s">
        <v>1475</v>
      </c>
      <c r="I263" s="6" t="s">
        <v>27</v>
      </c>
      <c r="J263" s="6" t="s">
        <v>27</v>
      </c>
      <c r="K263" s="6" t="s">
        <v>27</v>
      </c>
      <c r="L263" s="6" t="s">
        <v>27</v>
      </c>
      <c r="M263" s="6" t="s">
        <v>27</v>
      </c>
      <c r="N263" s="6" t="s">
        <v>27</v>
      </c>
      <c r="O263" s="6" t="s">
        <v>27</v>
      </c>
      <c r="P263" s="6" t="s">
        <v>27</v>
      </c>
      <c r="Q263" s="6"/>
      <c r="R263" s="33">
        <f t="shared" si="6"/>
        <v>2024</v>
      </c>
      <c r="S263" s="33"/>
    </row>
    <row r="264" spans="1:19" ht="14.5" x14ac:dyDescent="0.35">
      <c r="A264" s="7" t="s">
        <v>1800</v>
      </c>
      <c r="B264" s="7" t="s">
        <v>383</v>
      </c>
      <c r="C264" s="7" t="s">
        <v>48</v>
      </c>
      <c r="D264" s="7" t="s">
        <v>1809</v>
      </c>
      <c r="E264" s="7" t="s">
        <v>1810</v>
      </c>
      <c r="F264" s="8"/>
      <c r="G264" s="60"/>
      <c r="H264" s="6" t="s">
        <v>1475</v>
      </c>
      <c r="I264" s="6" t="s">
        <v>27</v>
      </c>
      <c r="J264" s="6" t="s">
        <v>27</v>
      </c>
      <c r="K264" s="6" t="s">
        <v>27</v>
      </c>
      <c r="L264" s="6" t="s">
        <v>27</v>
      </c>
      <c r="M264" s="6" t="s">
        <v>27</v>
      </c>
      <c r="N264" s="6" t="s">
        <v>27</v>
      </c>
      <c r="O264" s="6" t="s">
        <v>27</v>
      </c>
      <c r="P264" s="6" t="s">
        <v>27</v>
      </c>
      <c r="Q264" s="6"/>
      <c r="R264" s="33">
        <f t="shared" si="6"/>
        <v>2024</v>
      </c>
      <c r="S264" s="33"/>
    </row>
    <row r="265" spans="1:19" ht="14.5" x14ac:dyDescent="0.35">
      <c r="A265" s="7" t="s">
        <v>347</v>
      </c>
      <c r="B265" s="7" t="s">
        <v>1813</v>
      </c>
      <c r="C265" s="7" t="s">
        <v>48</v>
      </c>
      <c r="D265" s="7" t="s">
        <v>1740</v>
      </c>
      <c r="E265" s="7" t="s">
        <v>1814</v>
      </c>
      <c r="F265" s="8"/>
      <c r="G265" s="60"/>
      <c r="H265" s="6" t="s">
        <v>1475</v>
      </c>
      <c r="I265" s="6" t="s">
        <v>27</v>
      </c>
      <c r="J265" s="6" t="s">
        <v>27</v>
      </c>
      <c r="K265" s="6" t="s">
        <v>27</v>
      </c>
      <c r="L265" s="6" t="s">
        <v>27</v>
      </c>
      <c r="M265" s="6" t="s">
        <v>27</v>
      </c>
      <c r="N265" s="6" t="s">
        <v>27</v>
      </c>
      <c r="O265" s="6" t="s">
        <v>27</v>
      </c>
      <c r="P265" s="6" t="s">
        <v>27</v>
      </c>
      <c r="Q265" s="6"/>
      <c r="R265" s="33">
        <f t="shared" si="6"/>
        <v>2024</v>
      </c>
      <c r="S265" s="33"/>
    </row>
    <row r="266" spans="1:19" ht="14.5" x14ac:dyDescent="0.35">
      <c r="A266" s="7" t="s">
        <v>1815</v>
      </c>
      <c r="B266" s="7" t="s">
        <v>377</v>
      </c>
      <c r="C266" s="7" t="s">
        <v>42</v>
      </c>
      <c r="D266" s="7" t="s">
        <v>1816</v>
      </c>
      <c r="E266" s="7" t="s">
        <v>1817</v>
      </c>
      <c r="F266" s="8"/>
      <c r="G266" s="60"/>
      <c r="H266" s="6" t="s">
        <v>749</v>
      </c>
      <c r="I266" s="175"/>
      <c r="J266" s="175"/>
      <c r="K266" s="175"/>
      <c r="L266" s="175"/>
      <c r="M266" s="175"/>
      <c r="N266" s="175"/>
      <c r="O266" s="175"/>
      <c r="P266" s="175"/>
      <c r="Q266" s="6"/>
      <c r="R266" s="33">
        <f t="shared" si="6"/>
        <v>2024</v>
      </c>
      <c r="S266" s="33"/>
    </row>
    <row r="267" spans="1:19" ht="14.5" x14ac:dyDescent="0.35">
      <c r="A267" s="7" t="s">
        <v>362</v>
      </c>
      <c r="B267" s="7" t="s">
        <v>363</v>
      </c>
      <c r="C267" s="7" t="s">
        <v>48</v>
      </c>
      <c r="D267" s="7" t="s">
        <v>1497</v>
      </c>
      <c r="E267" s="7" t="s">
        <v>1818</v>
      </c>
      <c r="F267" s="8"/>
      <c r="G267" s="60"/>
      <c r="H267" s="6" t="s">
        <v>1475</v>
      </c>
      <c r="I267" s="6" t="s">
        <v>27</v>
      </c>
      <c r="J267" s="6" t="s">
        <v>27</v>
      </c>
      <c r="K267" s="6" t="s">
        <v>27</v>
      </c>
      <c r="L267" s="6" t="s">
        <v>27</v>
      </c>
      <c r="M267" s="6" t="s">
        <v>27</v>
      </c>
      <c r="N267" s="6" t="s">
        <v>27</v>
      </c>
      <c r="O267" s="6" t="s">
        <v>27</v>
      </c>
      <c r="P267" s="6" t="s">
        <v>27</v>
      </c>
      <c r="Q267" s="6"/>
      <c r="R267" s="33">
        <f t="shared" si="6"/>
        <v>2024</v>
      </c>
      <c r="S267" s="33"/>
    </row>
    <row r="268" spans="1:19" ht="14.5" x14ac:dyDescent="0.35">
      <c r="A268" s="7" t="s">
        <v>1815</v>
      </c>
      <c r="B268" s="7" t="s">
        <v>377</v>
      </c>
      <c r="C268" s="7" t="s">
        <v>42</v>
      </c>
      <c r="D268" s="7" t="s">
        <v>1819</v>
      </c>
      <c r="E268" s="7" t="s">
        <v>1817</v>
      </c>
      <c r="F268" s="8"/>
      <c r="G268" s="60"/>
      <c r="H268" s="6" t="s">
        <v>1475</v>
      </c>
      <c r="I268" s="6" t="s">
        <v>27</v>
      </c>
      <c r="J268" s="6" t="s">
        <v>27</v>
      </c>
      <c r="K268" s="6" t="s">
        <v>27</v>
      </c>
      <c r="L268" s="6" t="s">
        <v>27</v>
      </c>
      <c r="M268" s="6" t="s">
        <v>27</v>
      </c>
      <c r="N268" s="6" t="s">
        <v>27</v>
      </c>
      <c r="O268" s="6" t="s">
        <v>27</v>
      </c>
      <c r="P268" s="6" t="s">
        <v>27</v>
      </c>
      <c r="Q268" s="6"/>
      <c r="R268" s="33">
        <f t="shared" si="6"/>
        <v>2024</v>
      </c>
      <c r="S268" s="33"/>
    </row>
    <row r="269" spans="1:19" ht="14.5" x14ac:dyDescent="0.35">
      <c r="A269" s="7" t="s">
        <v>315</v>
      </c>
      <c r="B269" s="7" t="s">
        <v>316</v>
      </c>
      <c r="C269" s="7" t="s">
        <v>48</v>
      </c>
      <c r="D269" s="7" t="s">
        <v>1497</v>
      </c>
      <c r="E269" s="7" t="s">
        <v>1818</v>
      </c>
      <c r="F269" s="8"/>
      <c r="G269" s="60"/>
      <c r="H269" s="6" t="s">
        <v>1475</v>
      </c>
      <c r="I269" s="6" t="s">
        <v>27</v>
      </c>
      <c r="J269" s="6" t="s">
        <v>27</v>
      </c>
      <c r="K269" s="6" t="s">
        <v>27</v>
      </c>
      <c r="L269" s="6" t="s">
        <v>27</v>
      </c>
      <c r="M269" s="6" t="s">
        <v>27</v>
      </c>
      <c r="N269" s="6" t="s">
        <v>27</v>
      </c>
      <c r="O269" s="6" t="s">
        <v>27</v>
      </c>
      <c r="P269" s="6" t="s">
        <v>27</v>
      </c>
      <c r="Q269" s="6"/>
      <c r="R269" s="33">
        <f t="shared" si="6"/>
        <v>2024</v>
      </c>
      <c r="S269" s="33"/>
    </row>
    <row r="270" spans="1:19" ht="14.5" x14ac:dyDescent="0.35">
      <c r="A270" s="7" t="s">
        <v>1820</v>
      </c>
      <c r="B270" s="7" t="s">
        <v>631</v>
      </c>
      <c r="C270" s="7" t="s">
        <v>37</v>
      </c>
      <c r="D270" s="7" t="s">
        <v>1543</v>
      </c>
      <c r="E270" s="7" t="s">
        <v>1183</v>
      </c>
      <c r="F270" s="8"/>
      <c r="G270" s="60"/>
      <c r="H270" s="6" t="s">
        <v>1475</v>
      </c>
      <c r="I270" s="6" t="s">
        <v>27</v>
      </c>
      <c r="J270" s="6" t="s">
        <v>27</v>
      </c>
      <c r="K270" s="6" t="s">
        <v>27</v>
      </c>
      <c r="L270" s="6" t="s">
        <v>27</v>
      </c>
      <c r="M270" s="6" t="s">
        <v>27</v>
      </c>
      <c r="N270" s="6" t="s">
        <v>27</v>
      </c>
      <c r="O270" s="6" t="s">
        <v>27</v>
      </c>
      <c r="P270" s="6" t="s">
        <v>27</v>
      </c>
      <c r="Q270" s="6"/>
      <c r="R270" s="33">
        <f t="shared" si="6"/>
        <v>2024</v>
      </c>
      <c r="S270" s="33"/>
    </row>
    <row r="271" spans="1:19" ht="14.5" x14ac:dyDescent="0.35">
      <c r="A271" s="7" t="s">
        <v>1820</v>
      </c>
      <c r="B271" s="7" t="s">
        <v>631</v>
      </c>
      <c r="C271" s="7" t="s">
        <v>37</v>
      </c>
      <c r="D271" s="7" t="s">
        <v>1591</v>
      </c>
      <c r="E271" s="7" t="s">
        <v>1607</v>
      </c>
      <c r="F271" s="8"/>
      <c r="G271" s="60"/>
      <c r="H271" s="6" t="s">
        <v>1475</v>
      </c>
      <c r="I271" s="6" t="s">
        <v>27</v>
      </c>
      <c r="J271" s="6" t="s">
        <v>27</v>
      </c>
      <c r="K271" s="6" t="s">
        <v>27</v>
      </c>
      <c r="L271" s="6" t="s">
        <v>27</v>
      </c>
      <c r="M271" s="6" t="s">
        <v>27</v>
      </c>
      <c r="N271" s="6" t="s">
        <v>27</v>
      </c>
      <c r="O271" s="6" t="s">
        <v>27</v>
      </c>
      <c r="P271" s="6" t="s">
        <v>27</v>
      </c>
      <c r="Q271" s="6"/>
      <c r="R271" s="33">
        <f t="shared" si="6"/>
        <v>2024</v>
      </c>
      <c r="S271" s="33"/>
    </row>
    <row r="272" spans="1:19" ht="14.5" x14ac:dyDescent="0.35">
      <c r="A272" s="7" t="s">
        <v>1174</v>
      </c>
      <c r="B272" s="7" t="s">
        <v>1175</v>
      </c>
      <c r="C272" s="7" t="s">
        <v>37</v>
      </c>
      <c r="D272" s="7" t="s">
        <v>1183</v>
      </c>
      <c r="E272" s="7" t="s">
        <v>1183</v>
      </c>
      <c r="F272" s="8"/>
      <c r="G272" s="60"/>
      <c r="H272" s="6" t="s">
        <v>1475</v>
      </c>
      <c r="I272" s="6" t="s">
        <v>27</v>
      </c>
      <c r="J272" s="6" t="s">
        <v>27</v>
      </c>
      <c r="K272" s="6" t="s">
        <v>27</v>
      </c>
      <c r="L272" s="6" t="s">
        <v>27</v>
      </c>
      <c r="M272" s="6" t="s">
        <v>27</v>
      </c>
      <c r="N272" s="6" t="s">
        <v>27</v>
      </c>
      <c r="O272" s="6" t="s">
        <v>27</v>
      </c>
      <c r="P272" s="6" t="s">
        <v>27</v>
      </c>
      <c r="Q272" s="6"/>
      <c r="R272" s="33">
        <f t="shared" si="6"/>
        <v>2024</v>
      </c>
      <c r="S272" s="33"/>
    </row>
    <row r="273" spans="1:19" ht="14.5" x14ac:dyDescent="0.35">
      <c r="A273" s="7" t="s">
        <v>1797</v>
      </c>
      <c r="B273" s="7" t="s">
        <v>340</v>
      </c>
      <c r="C273" s="7" t="s">
        <v>48</v>
      </c>
      <c r="D273" s="7" t="s">
        <v>1821</v>
      </c>
      <c r="E273" s="7" t="s">
        <v>1822</v>
      </c>
      <c r="F273" s="8"/>
      <c r="G273" s="60"/>
      <c r="H273" s="6" t="s">
        <v>1475</v>
      </c>
      <c r="I273" s="6" t="s">
        <v>27</v>
      </c>
      <c r="J273" s="6" t="s">
        <v>27</v>
      </c>
      <c r="K273" s="6" t="s">
        <v>27</v>
      </c>
      <c r="L273" s="6" t="s">
        <v>27</v>
      </c>
      <c r="M273" s="6" t="s">
        <v>27</v>
      </c>
      <c r="N273" s="6" t="s">
        <v>27</v>
      </c>
      <c r="O273" s="6" t="s">
        <v>27</v>
      </c>
      <c r="P273" s="6" t="s">
        <v>27</v>
      </c>
      <c r="Q273" s="6"/>
      <c r="R273" s="33">
        <f t="shared" si="6"/>
        <v>2024</v>
      </c>
      <c r="S273" s="33"/>
    </row>
    <row r="274" spans="1:19" ht="14.5" x14ac:dyDescent="0.35">
      <c r="A274" s="7" t="s">
        <v>1797</v>
      </c>
      <c r="B274" s="7" t="s">
        <v>340</v>
      </c>
      <c r="C274" s="7" t="s">
        <v>48</v>
      </c>
      <c r="D274" s="7" t="s">
        <v>1517</v>
      </c>
      <c r="E274" s="7" t="s">
        <v>1823</v>
      </c>
      <c r="F274" s="8"/>
      <c r="G274" s="60"/>
      <c r="H274" s="6" t="s">
        <v>1475</v>
      </c>
      <c r="I274" s="6" t="s">
        <v>27</v>
      </c>
      <c r="J274" s="6" t="s">
        <v>27</v>
      </c>
      <c r="K274" s="6" t="s">
        <v>27</v>
      </c>
      <c r="L274" s="6" t="s">
        <v>27</v>
      </c>
      <c r="M274" s="6" t="s">
        <v>27</v>
      </c>
      <c r="N274" s="6" t="s">
        <v>27</v>
      </c>
      <c r="O274" s="6" t="s">
        <v>27</v>
      </c>
      <c r="P274" s="6" t="s">
        <v>27</v>
      </c>
      <c r="Q274" s="6"/>
      <c r="R274" s="33">
        <f t="shared" si="6"/>
        <v>2024</v>
      </c>
      <c r="S274" s="33"/>
    </row>
    <row r="275" spans="1:19" ht="14.5" x14ac:dyDescent="0.35">
      <c r="A275" s="7" t="s">
        <v>1162</v>
      </c>
      <c r="B275" s="7" t="s">
        <v>386</v>
      </c>
      <c r="C275" s="7" t="s">
        <v>37</v>
      </c>
      <c r="D275" s="7" t="s">
        <v>1693</v>
      </c>
      <c r="E275" s="7" t="s">
        <v>1824</v>
      </c>
      <c r="F275" s="8"/>
      <c r="G275" s="60"/>
      <c r="H275" s="6" t="s">
        <v>1475</v>
      </c>
      <c r="I275" s="6" t="s">
        <v>27</v>
      </c>
      <c r="J275" s="6" t="s">
        <v>27</v>
      </c>
      <c r="K275" s="6" t="s">
        <v>27</v>
      </c>
      <c r="L275" s="6" t="s">
        <v>27</v>
      </c>
      <c r="M275" s="6" t="s">
        <v>27</v>
      </c>
      <c r="N275" s="6" t="s">
        <v>27</v>
      </c>
      <c r="O275" s="6" t="s">
        <v>27</v>
      </c>
      <c r="P275" s="6" t="s">
        <v>27</v>
      </c>
      <c r="Q275" s="6"/>
      <c r="R275" s="33">
        <f t="shared" si="6"/>
        <v>2024</v>
      </c>
      <c r="S275" s="33"/>
    </row>
    <row r="276" spans="1:19" ht="14.5" x14ac:dyDescent="0.35">
      <c r="A276" s="7" t="s">
        <v>1825</v>
      </c>
      <c r="B276" s="7" t="s">
        <v>326</v>
      </c>
      <c r="C276" s="7" t="s">
        <v>1756</v>
      </c>
      <c r="D276" s="7" t="s">
        <v>1826</v>
      </c>
      <c r="E276" s="7" t="s">
        <v>1827</v>
      </c>
      <c r="F276" s="8"/>
      <c r="G276" s="60"/>
      <c r="H276" s="6" t="s">
        <v>1475</v>
      </c>
      <c r="I276" s="6" t="s">
        <v>27</v>
      </c>
      <c r="J276" s="6" t="s">
        <v>27</v>
      </c>
      <c r="K276" s="6" t="s">
        <v>27</v>
      </c>
      <c r="L276" s="6" t="s">
        <v>27</v>
      </c>
      <c r="M276" s="6" t="s">
        <v>27</v>
      </c>
      <c r="N276" s="6" t="s">
        <v>27</v>
      </c>
      <c r="O276" s="6" t="s">
        <v>27</v>
      </c>
      <c r="P276" s="6" t="s">
        <v>27</v>
      </c>
      <c r="Q276" s="6"/>
      <c r="R276" s="33">
        <f t="shared" si="6"/>
        <v>2024</v>
      </c>
      <c r="S276" s="33"/>
    </row>
    <row r="277" spans="1:19" ht="14.5" x14ac:dyDescent="0.35">
      <c r="A277" s="7" t="s">
        <v>1797</v>
      </c>
      <c r="B277" s="7" t="s">
        <v>340</v>
      </c>
      <c r="C277" s="7" t="s">
        <v>48</v>
      </c>
      <c r="D277" s="7" t="s">
        <v>1709</v>
      </c>
      <c r="E277" s="7" t="s">
        <v>1828</v>
      </c>
      <c r="F277" s="8"/>
      <c r="G277" s="60"/>
      <c r="H277" s="6" t="s">
        <v>1475</v>
      </c>
      <c r="I277" s="6" t="s">
        <v>27</v>
      </c>
      <c r="J277" s="6" t="s">
        <v>27</v>
      </c>
      <c r="K277" s="6" t="s">
        <v>27</v>
      </c>
      <c r="L277" s="6" t="s">
        <v>27</v>
      </c>
      <c r="M277" s="6" t="s">
        <v>27</v>
      </c>
      <c r="N277" s="6" t="s">
        <v>27</v>
      </c>
      <c r="O277" s="6" t="s">
        <v>27</v>
      </c>
      <c r="P277" s="6" t="s">
        <v>27</v>
      </c>
      <c r="Q277" s="6"/>
      <c r="R277" s="33">
        <f t="shared" si="6"/>
        <v>2024</v>
      </c>
      <c r="S277" s="33"/>
    </row>
    <row r="278" spans="1:19" ht="14.5" x14ac:dyDescent="0.35">
      <c r="A278" s="7" t="s">
        <v>330</v>
      </c>
      <c r="B278" s="7" t="s">
        <v>331</v>
      </c>
      <c r="C278" s="7" t="s">
        <v>48</v>
      </c>
      <c r="D278" s="7" t="s">
        <v>1829</v>
      </c>
      <c r="E278" s="7" t="s">
        <v>1805</v>
      </c>
      <c r="F278" s="8"/>
      <c r="G278" s="60"/>
      <c r="H278" s="6" t="s">
        <v>1475</v>
      </c>
      <c r="I278" s="6" t="s">
        <v>27</v>
      </c>
      <c r="J278" s="6" t="s">
        <v>27</v>
      </c>
      <c r="K278" s="6" t="s">
        <v>27</v>
      </c>
      <c r="L278" s="6" t="s">
        <v>27</v>
      </c>
      <c r="M278" s="6" t="s">
        <v>27</v>
      </c>
      <c r="N278" s="6" t="s">
        <v>27</v>
      </c>
      <c r="O278" s="6" t="s">
        <v>27</v>
      </c>
      <c r="P278" s="6" t="s">
        <v>27</v>
      </c>
      <c r="Q278" s="6"/>
      <c r="R278" s="33">
        <f t="shared" si="6"/>
        <v>2024</v>
      </c>
      <c r="S278" s="33"/>
    </row>
    <row r="279" spans="1:19" ht="14.5" x14ac:dyDescent="0.35">
      <c r="A279" s="7" t="s">
        <v>1797</v>
      </c>
      <c r="B279" s="7" t="s">
        <v>340</v>
      </c>
      <c r="C279" s="7" t="s">
        <v>48</v>
      </c>
      <c r="D279" s="7" t="s">
        <v>1501</v>
      </c>
      <c r="E279" s="7" t="s">
        <v>1016</v>
      </c>
      <c r="F279" s="8"/>
      <c r="G279" s="60"/>
      <c r="H279" s="6" t="s">
        <v>1475</v>
      </c>
      <c r="I279" s="6" t="s">
        <v>27</v>
      </c>
      <c r="J279" s="6" t="s">
        <v>27</v>
      </c>
      <c r="K279" s="6" t="s">
        <v>27</v>
      </c>
      <c r="L279" s="6" t="s">
        <v>27</v>
      </c>
      <c r="M279" s="6" t="s">
        <v>27</v>
      </c>
      <c r="N279" s="6" t="s">
        <v>27</v>
      </c>
      <c r="O279" s="6" t="s">
        <v>27</v>
      </c>
      <c r="P279" s="6" t="s">
        <v>27</v>
      </c>
      <c r="Q279" s="6"/>
      <c r="R279" s="33">
        <f t="shared" si="6"/>
        <v>2024</v>
      </c>
      <c r="S279" s="33"/>
    </row>
    <row r="280" spans="1:19" ht="14.5" x14ac:dyDescent="0.35">
      <c r="A280" s="7" t="s">
        <v>1830</v>
      </c>
      <c r="B280" s="7" t="s">
        <v>1831</v>
      </c>
      <c r="C280" s="7" t="s">
        <v>48</v>
      </c>
      <c r="D280" s="7" t="s">
        <v>1758</v>
      </c>
      <c r="E280" s="7" t="s">
        <v>1832</v>
      </c>
      <c r="F280" s="8"/>
      <c r="G280" s="60"/>
      <c r="H280" s="6" t="s">
        <v>1475</v>
      </c>
      <c r="I280" s="6" t="s">
        <v>27</v>
      </c>
      <c r="J280" s="6" t="s">
        <v>27</v>
      </c>
      <c r="K280" s="6" t="s">
        <v>27</v>
      </c>
      <c r="L280" s="6" t="s">
        <v>27</v>
      </c>
      <c r="M280" s="6" t="s">
        <v>27</v>
      </c>
      <c r="N280" s="6" t="s">
        <v>27</v>
      </c>
      <c r="O280" s="6" t="s">
        <v>27</v>
      </c>
      <c r="P280" s="6" t="s">
        <v>27</v>
      </c>
      <c r="Q280" s="6"/>
      <c r="R280" s="33">
        <f t="shared" si="6"/>
        <v>2024</v>
      </c>
      <c r="S280" s="33"/>
    </row>
    <row r="281" spans="1:19" ht="14.5" x14ac:dyDescent="0.35">
      <c r="A281" s="7" t="s">
        <v>1797</v>
      </c>
      <c r="B281" s="7" t="s">
        <v>340</v>
      </c>
      <c r="C281" s="7" t="s">
        <v>48</v>
      </c>
      <c r="D281" s="7" t="s">
        <v>1833</v>
      </c>
      <c r="E281" s="7" t="s">
        <v>1834</v>
      </c>
      <c r="F281" s="8"/>
      <c r="G281" s="60"/>
      <c r="H281" s="6" t="s">
        <v>1475</v>
      </c>
      <c r="I281" s="6" t="s">
        <v>27</v>
      </c>
      <c r="J281" s="6" t="s">
        <v>27</v>
      </c>
      <c r="K281" s="6" t="s">
        <v>27</v>
      </c>
      <c r="L281" s="6" t="s">
        <v>27</v>
      </c>
      <c r="M281" s="6" t="s">
        <v>27</v>
      </c>
      <c r="N281" s="6" t="s">
        <v>27</v>
      </c>
      <c r="O281" s="6" t="s">
        <v>27</v>
      </c>
      <c r="P281" s="6" t="s">
        <v>27</v>
      </c>
      <c r="Q281" s="6"/>
      <c r="R281" s="33">
        <f t="shared" si="6"/>
        <v>2024</v>
      </c>
      <c r="S281" s="33"/>
    </row>
    <row r="282" spans="1:19" ht="14.5" x14ac:dyDescent="0.35">
      <c r="A282" s="7" t="s">
        <v>1820</v>
      </c>
      <c r="B282" s="7" t="s">
        <v>631</v>
      </c>
      <c r="C282" s="7" t="s">
        <v>37</v>
      </c>
      <c r="D282" s="7" t="s">
        <v>1543</v>
      </c>
      <c r="E282" s="7" t="s">
        <v>1183</v>
      </c>
      <c r="F282" s="8"/>
      <c r="G282" s="60"/>
      <c r="H282" s="6" t="s">
        <v>1475</v>
      </c>
      <c r="I282" s="6" t="s">
        <v>27</v>
      </c>
      <c r="J282" s="6" t="s">
        <v>27</v>
      </c>
      <c r="K282" s="6" t="s">
        <v>27</v>
      </c>
      <c r="L282" s="6" t="s">
        <v>27</v>
      </c>
      <c r="M282" s="6" t="s">
        <v>27</v>
      </c>
      <c r="N282" s="6" t="s">
        <v>27</v>
      </c>
      <c r="O282" s="6" t="s">
        <v>27</v>
      </c>
      <c r="P282" s="6" t="s">
        <v>27</v>
      </c>
      <c r="Q282" s="6"/>
      <c r="R282" s="33">
        <f t="shared" si="6"/>
        <v>2024</v>
      </c>
      <c r="S282" s="33"/>
    </row>
    <row r="283" spans="1:19" ht="14.5" x14ac:dyDescent="0.35">
      <c r="A283" s="7" t="s">
        <v>1820</v>
      </c>
      <c r="B283" s="7" t="s">
        <v>631</v>
      </c>
      <c r="C283" s="7" t="s">
        <v>37</v>
      </c>
      <c r="D283" s="7" t="s">
        <v>1591</v>
      </c>
      <c r="E283" s="7" t="s">
        <v>1607</v>
      </c>
      <c r="F283" s="8"/>
      <c r="G283" s="60"/>
      <c r="H283" s="6" t="s">
        <v>1475</v>
      </c>
      <c r="I283" s="6" t="s">
        <v>27</v>
      </c>
      <c r="J283" s="6" t="s">
        <v>27</v>
      </c>
      <c r="K283" s="6" t="s">
        <v>27</v>
      </c>
      <c r="L283" s="6" t="s">
        <v>27</v>
      </c>
      <c r="M283" s="6" t="s">
        <v>27</v>
      </c>
      <c r="N283" s="6" t="s">
        <v>27</v>
      </c>
      <c r="O283" s="6" t="s">
        <v>27</v>
      </c>
      <c r="P283" s="6" t="s">
        <v>27</v>
      </c>
      <c r="Q283" s="6"/>
      <c r="R283" s="33">
        <f t="shared" si="6"/>
        <v>2024</v>
      </c>
      <c r="S283" s="33"/>
    </row>
    <row r="284" spans="1:19" ht="14.5" x14ac:dyDescent="0.35">
      <c r="A284" s="7" t="s">
        <v>362</v>
      </c>
      <c r="B284" s="7" t="s">
        <v>363</v>
      </c>
      <c r="C284" s="7" t="s">
        <v>48</v>
      </c>
      <c r="D284" s="7" t="s">
        <v>1497</v>
      </c>
      <c r="E284" s="7" t="s">
        <v>1818</v>
      </c>
      <c r="F284" s="8"/>
      <c r="G284" s="60"/>
      <c r="H284" s="6" t="s">
        <v>1475</v>
      </c>
      <c r="I284" s="6" t="s">
        <v>27</v>
      </c>
      <c r="J284" s="6" t="s">
        <v>27</v>
      </c>
      <c r="K284" s="6" t="s">
        <v>27</v>
      </c>
      <c r="L284" s="6" t="s">
        <v>27</v>
      </c>
      <c r="M284" s="6" t="s">
        <v>27</v>
      </c>
      <c r="N284" s="6" t="s">
        <v>27</v>
      </c>
      <c r="O284" s="6" t="s">
        <v>27</v>
      </c>
      <c r="P284" s="6" t="s">
        <v>27</v>
      </c>
      <c r="Q284" s="6"/>
      <c r="R284" s="33">
        <f t="shared" si="6"/>
        <v>2024</v>
      </c>
      <c r="S284" s="33"/>
    </row>
    <row r="285" spans="1:19" ht="14.5" x14ac:dyDescent="0.35">
      <c r="A285" s="7" t="s">
        <v>345</v>
      </c>
      <c r="B285" s="7" t="s">
        <v>346</v>
      </c>
      <c r="C285" s="7" t="s">
        <v>61</v>
      </c>
      <c r="D285" s="7" t="s">
        <v>1497</v>
      </c>
      <c r="E285" s="7" t="s">
        <v>1251</v>
      </c>
      <c r="F285" s="8"/>
      <c r="G285" s="60"/>
      <c r="H285" s="6" t="s">
        <v>1475</v>
      </c>
      <c r="I285" s="6" t="s">
        <v>27</v>
      </c>
      <c r="J285" s="6" t="s">
        <v>27</v>
      </c>
      <c r="K285" s="6" t="s">
        <v>27</v>
      </c>
      <c r="L285" s="6" t="s">
        <v>27</v>
      </c>
      <c r="M285" s="6" t="s">
        <v>27</v>
      </c>
      <c r="N285" s="6" t="s">
        <v>27</v>
      </c>
      <c r="O285" s="6" t="s">
        <v>27</v>
      </c>
      <c r="P285" s="6" t="s">
        <v>27</v>
      </c>
      <c r="Q285" s="6"/>
      <c r="R285" s="33">
        <f t="shared" si="6"/>
        <v>2024</v>
      </c>
      <c r="S285" s="33"/>
    </row>
    <row r="286" spans="1:19" ht="14.5" x14ac:dyDescent="0.35">
      <c r="A286" s="7" t="s">
        <v>1797</v>
      </c>
      <c r="B286" s="7" t="s">
        <v>340</v>
      </c>
      <c r="C286" s="7" t="s">
        <v>48</v>
      </c>
      <c r="D286" s="7" t="s">
        <v>1700</v>
      </c>
      <c r="E286" s="7" t="s">
        <v>1766</v>
      </c>
      <c r="F286" s="8"/>
      <c r="G286" s="60"/>
      <c r="H286" s="6" t="s">
        <v>1475</v>
      </c>
      <c r="I286" s="6" t="s">
        <v>27</v>
      </c>
      <c r="J286" s="6" t="s">
        <v>27</v>
      </c>
      <c r="K286" s="6" t="s">
        <v>27</v>
      </c>
      <c r="L286" s="6" t="s">
        <v>27</v>
      </c>
      <c r="M286" s="6" t="s">
        <v>27</v>
      </c>
      <c r="N286" s="6" t="s">
        <v>27</v>
      </c>
      <c r="O286" s="6" t="s">
        <v>27</v>
      </c>
      <c r="P286" s="6" t="s">
        <v>27</v>
      </c>
      <c r="Q286" s="6"/>
      <c r="R286" s="33">
        <f t="shared" si="6"/>
        <v>2024</v>
      </c>
      <c r="S286" s="33"/>
    </row>
    <row r="287" spans="1:19" ht="14.5" x14ac:dyDescent="0.35">
      <c r="A287" s="7" t="s">
        <v>328</v>
      </c>
      <c r="B287" s="7" t="s">
        <v>329</v>
      </c>
      <c r="C287" s="7" t="s">
        <v>48</v>
      </c>
      <c r="D287" s="7" t="s">
        <v>1497</v>
      </c>
      <c r="E287" s="7" t="s">
        <v>1818</v>
      </c>
      <c r="F287" s="8"/>
      <c r="G287" s="60"/>
      <c r="H287" s="6" t="s">
        <v>1475</v>
      </c>
      <c r="I287" s="6" t="s">
        <v>27</v>
      </c>
      <c r="J287" s="6" t="s">
        <v>27</v>
      </c>
      <c r="K287" s="6" t="s">
        <v>27</v>
      </c>
      <c r="L287" s="6" t="s">
        <v>27</v>
      </c>
      <c r="M287" s="6" t="s">
        <v>27</v>
      </c>
      <c r="N287" s="6" t="s">
        <v>27</v>
      </c>
      <c r="O287" s="6" t="s">
        <v>27</v>
      </c>
      <c r="P287" s="6" t="s">
        <v>27</v>
      </c>
      <c r="Q287" s="6"/>
      <c r="R287" s="33">
        <f t="shared" si="6"/>
        <v>2024</v>
      </c>
      <c r="S287" s="33"/>
    </row>
    <row r="288" spans="1:19" ht="14.5" x14ac:dyDescent="0.35">
      <c r="A288" s="7" t="s">
        <v>1835</v>
      </c>
      <c r="B288" s="7" t="s">
        <v>1836</v>
      </c>
      <c r="C288" s="7" t="s">
        <v>37</v>
      </c>
      <c r="D288" s="7" t="s">
        <v>1527</v>
      </c>
      <c r="E288" s="7" t="s">
        <v>1727</v>
      </c>
      <c r="F288" s="8"/>
      <c r="G288" s="60"/>
      <c r="H288" s="6" t="s">
        <v>1475</v>
      </c>
      <c r="I288" s="6" t="s">
        <v>27</v>
      </c>
      <c r="J288" s="6" t="s">
        <v>27</v>
      </c>
      <c r="K288" s="6" t="s">
        <v>27</v>
      </c>
      <c r="L288" s="6" t="s">
        <v>27</v>
      </c>
      <c r="M288" s="6" t="s">
        <v>27</v>
      </c>
      <c r="N288" s="6" t="s">
        <v>27</v>
      </c>
      <c r="O288" s="6" t="s">
        <v>27</v>
      </c>
      <c r="P288" s="6" t="s">
        <v>27</v>
      </c>
      <c r="Q288" s="6"/>
      <c r="R288" s="33">
        <f t="shared" si="6"/>
        <v>2024</v>
      </c>
      <c r="S288" s="33"/>
    </row>
    <row r="289" spans="1:19" ht="14.5" x14ac:dyDescent="0.35">
      <c r="A289" s="7" t="s">
        <v>1835</v>
      </c>
      <c r="B289" s="7" t="s">
        <v>1836</v>
      </c>
      <c r="C289" s="7" t="s">
        <v>37</v>
      </c>
      <c r="D289" s="7" t="s">
        <v>1543</v>
      </c>
      <c r="E289" s="7" t="s">
        <v>1183</v>
      </c>
      <c r="F289" s="8"/>
      <c r="G289" s="60"/>
      <c r="H289" s="6" t="s">
        <v>1475</v>
      </c>
      <c r="I289" s="6" t="s">
        <v>27</v>
      </c>
      <c r="J289" s="6" t="s">
        <v>27</v>
      </c>
      <c r="K289" s="6" t="s">
        <v>27</v>
      </c>
      <c r="L289" s="6" t="s">
        <v>27</v>
      </c>
      <c r="M289" s="6" t="s">
        <v>27</v>
      </c>
      <c r="N289" s="6" t="s">
        <v>27</v>
      </c>
      <c r="O289" s="6" t="s">
        <v>27</v>
      </c>
      <c r="P289" s="6" t="s">
        <v>27</v>
      </c>
      <c r="Q289" s="6"/>
      <c r="R289" s="33">
        <f t="shared" si="6"/>
        <v>2024</v>
      </c>
      <c r="S289" s="33"/>
    </row>
    <row r="290" spans="1:19" ht="14.5" x14ac:dyDescent="0.35">
      <c r="A290" s="7" t="s">
        <v>315</v>
      </c>
      <c r="B290" s="7" t="s">
        <v>316</v>
      </c>
      <c r="C290" s="7" t="s">
        <v>48</v>
      </c>
      <c r="D290" s="7" t="s">
        <v>1497</v>
      </c>
      <c r="E290" s="7" t="s">
        <v>1818</v>
      </c>
      <c r="F290" s="8"/>
      <c r="G290" s="60"/>
      <c r="H290" s="6" t="s">
        <v>1475</v>
      </c>
      <c r="I290" s="6" t="s">
        <v>27</v>
      </c>
      <c r="J290" s="6" t="s">
        <v>27</v>
      </c>
      <c r="K290" s="6" t="s">
        <v>27</v>
      </c>
      <c r="L290" s="6" t="s">
        <v>27</v>
      </c>
      <c r="M290" s="6" t="s">
        <v>27</v>
      </c>
      <c r="N290" s="6" t="s">
        <v>27</v>
      </c>
      <c r="O290" s="6" t="s">
        <v>27</v>
      </c>
      <c r="P290" s="6" t="s">
        <v>27</v>
      </c>
      <c r="Q290" s="6"/>
      <c r="R290" s="33">
        <f t="shared" si="6"/>
        <v>2024</v>
      </c>
      <c r="S290" s="33"/>
    </row>
    <row r="291" spans="1:19" ht="14.5" x14ac:dyDescent="0.35">
      <c r="A291" s="7" t="s">
        <v>1837</v>
      </c>
      <c r="B291" s="7" t="s">
        <v>336</v>
      </c>
      <c r="C291" s="7" t="s">
        <v>48</v>
      </c>
      <c r="D291" s="7" t="s">
        <v>1497</v>
      </c>
      <c r="E291" s="7" t="s">
        <v>1818</v>
      </c>
      <c r="F291" s="8"/>
      <c r="G291" s="60"/>
      <c r="H291" s="6" t="s">
        <v>1475</v>
      </c>
      <c r="I291" s="6" t="s">
        <v>27</v>
      </c>
      <c r="J291" s="6" t="s">
        <v>27</v>
      </c>
      <c r="K291" s="6" t="s">
        <v>27</v>
      </c>
      <c r="L291" s="6" t="s">
        <v>27</v>
      </c>
      <c r="M291" s="6" t="s">
        <v>27</v>
      </c>
      <c r="N291" s="6" t="s">
        <v>27</v>
      </c>
      <c r="O291" s="6" t="s">
        <v>27</v>
      </c>
      <c r="P291" s="6" t="s">
        <v>27</v>
      </c>
      <c r="Q291" s="6"/>
      <c r="R291" s="33">
        <f t="shared" si="6"/>
        <v>2024</v>
      </c>
      <c r="S291" s="33"/>
    </row>
    <row r="292" spans="1:19" ht="14.5" x14ac:dyDescent="0.35">
      <c r="A292" s="7" t="s">
        <v>330</v>
      </c>
      <c r="B292" s="7" t="s">
        <v>331</v>
      </c>
      <c r="C292" s="7" t="s">
        <v>48</v>
      </c>
      <c r="D292" s="7" t="s">
        <v>1829</v>
      </c>
      <c r="E292" s="7" t="s">
        <v>1805</v>
      </c>
      <c r="F292" s="8"/>
      <c r="G292" s="60"/>
      <c r="H292" s="6" t="s">
        <v>1475</v>
      </c>
      <c r="I292" s="6" t="s">
        <v>27</v>
      </c>
      <c r="J292" s="6" t="s">
        <v>27</v>
      </c>
      <c r="K292" s="6" t="s">
        <v>27</v>
      </c>
      <c r="L292" s="6" t="s">
        <v>27</v>
      </c>
      <c r="M292" s="6" t="s">
        <v>27</v>
      </c>
      <c r="N292" s="6" t="s">
        <v>27</v>
      </c>
      <c r="O292" s="6" t="s">
        <v>27</v>
      </c>
      <c r="P292" s="6" t="s">
        <v>27</v>
      </c>
      <c r="Q292" s="6"/>
      <c r="R292" s="33">
        <f t="shared" si="6"/>
        <v>2024</v>
      </c>
      <c r="S292" s="33"/>
    </row>
    <row r="293" spans="1:19" ht="14.5" x14ac:dyDescent="0.35">
      <c r="A293" s="7" t="s">
        <v>1830</v>
      </c>
      <c r="B293" s="7" t="s">
        <v>314</v>
      </c>
      <c r="C293" s="7" t="s">
        <v>48</v>
      </c>
      <c r="D293" s="7" t="s">
        <v>1793</v>
      </c>
      <c r="E293" s="7" t="s">
        <v>1838</v>
      </c>
      <c r="F293" s="8"/>
      <c r="G293" s="60"/>
      <c r="H293" s="6" t="s">
        <v>1475</v>
      </c>
      <c r="I293" s="6" t="s">
        <v>27</v>
      </c>
      <c r="J293" s="6" t="s">
        <v>27</v>
      </c>
      <c r="K293" s="6" t="s">
        <v>27</v>
      </c>
      <c r="L293" s="6" t="s">
        <v>27</v>
      </c>
      <c r="M293" s="6" t="s">
        <v>27</v>
      </c>
      <c r="N293" s="6" t="s">
        <v>27</v>
      </c>
      <c r="O293" s="6" t="s">
        <v>27</v>
      </c>
      <c r="P293" s="6" t="s">
        <v>27</v>
      </c>
      <c r="Q293" s="6"/>
      <c r="R293" s="33">
        <f t="shared" si="6"/>
        <v>2024</v>
      </c>
      <c r="S293" s="33"/>
    </row>
    <row r="294" spans="1:19" ht="14.5" x14ac:dyDescent="0.35">
      <c r="A294" s="7" t="s">
        <v>1830</v>
      </c>
      <c r="B294" s="7" t="s">
        <v>314</v>
      </c>
      <c r="C294" s="7" t="s">
        <v>48</v>
      </c>
      <c r="D294" s="7" t="s">
        <v>1806</v>
      </c>
      <c r="E294" s="7" t="s">
        <v>1839</v>
      </c>
      <c r="F294" s="8"/>
      <c r="G294" s="60"/>
      <c r="H294" s="6" t="s">
        <v>1475</v>
      </c>
      <c r="I294" s="6" t="s">
        <v>27</v>
      </c>
      <c r="J294" s="6" t="s">
        <v>27</v>
      </c>
      <c r="K294" s="6" t="s">
        <v>27</v>
      </c>
      <c r="L294" s="6" t="s">
        <v>27</v>
      </c>
      <c r="M294" s="6" t="s">
        <v>27</v>
      </c>
      <c r="N294" s="6" t="s">
        <v>27</v>
      </c>
      <c r="O294" s="6" t="s">
        <v>27</v>
      </c>
      <c r="P294" s="6" t="s">
        <v>27</v>
      </c>
      <c r="Q294" s="6"/>
      <c r="R294" s="33">
        <f t="shared" si="6"/>
        <v>2024</v>
      </c>
      <c r="S294" s="33"/>
    </row>
    <row r="295" spans="1:19" ht="14.5" x14ac:dyDescent="0.35">
      <c r="A295" s="7" t="s">
        <v>1840</v>
      </c>
      <c r="B295" s="7" t="s">
        <v>333</v>
      </c>
      <c r="C295" s="7" t="s">
        <v>48</v>
      </c>
      <c r="D295" s="7" t="s">
        <v>1758</v>
      </c>
      <c r="E295" s="7" t="s">
        <v>1183</v>
      </c>
      <c r="F295" s="8"/>
      <c r="G295" s="60"/>
      <c r="H295" s="6" t="s">
        <v>1475</v>
      </c>
      <c r="I295" s="6" t="s">
        <v>27</v>
      </c>
      <c r="J295" s="6" t="s">
        <v>27</v>
      </c>
      <c r="K295" s="6" t="s">
        <v>27</v>
      </c>
      <c r="L295" s="6" t="s">
        <v>27</v>
      </c>
      <c r="M295" s="6" t="s">
        <v>27</v>
      </c>
      <c r="N295" s="6" t="s">
        <v>27</v>
      </c>
      <c r="O295" s="6" t="s">
        <v>27</v>
      </c>
      <c r="P295" s="6" t="s">
        <v>27</v>
      </c>
      <c r="Q295" s="6"/>
      <c r="R295" s="33">
        <f t="shared" si="6"/>
        <v>2024</v>
      </c>
      <c r="S295" s="33"/>
    </row>
    <row r="296" spans="1:19" ht="14.5" x14ac:dyDescent="0.35">
      <c r="A296" s="7" t="s">
        <v>1195</v>
      </c>
      <c r="B296" s="7" t="s">
        <v>320</v>
      </c>
      <c r="C296" s="7" t="s">
        <v>42</v>
      </c>
      <c r="D296" s="7" t="s">
        <v>1478</v>
      </c>
      <c r="E296" s="7" t="s">
        <v>1841</v>
      </c>
      <c r="F296" s="8"/>
      <c r="G296" s="60"/>
      <c r="H296" s="6" t="s">
        <v>1475</v>
      </c>
      <c r="I296" s="6" t="s">
        <v>27</v>
      </c>
      <c r="J296" s="6" t="s">
        <v>27</v>
      </c>
      <c r="K296" s="6" t="s">
        <v>27</v>
      </c>
      <c r="L296" s="6" t="s">
        <v>27</v>
      </c>
      <c r="M296" s="6" t="s">
        <v>27</v>
      </c>
      <c r="N296" s="6" t="s">
        <v>27</v>
      </c>
      <c r="O296" s="6" t="s">
        <v>27</v>
      </c>
      <c r="P296" s="6" t="s">
        <v>27</v>
      </c>
      <c r="Q296" s="6"/>
      <c r="R296" s="33">
        <f t="shared" si="6"/>
        <v>2024</v>
      </c>
      <c r="S296" s="33"/>
    </row>
    <row r="297" spans="1:19" ht="14.5" x14ac:dyDescent="0.35">
      <c r="A297" s="7" t="s">
        <v>1149</v>
      </c>
      <c r="B297" s="7" t="s">
        <v>1152</v>
      </c>
      <c r="C297" s="7" t="s">
        <v>82</v>
      </c>
      <c r="D297" s="7" t="s">
        <v>1791</v>
      </c>
      <c r="E297" s="7" t="s">
        <v>1842</v>
      </c>
      <c r="F297" s="8"/>
      <c r="G297" s="60"/>
      <c r="H297" s="6" t="s">
        <v>1475</v>
      </c>
      <c r="I297" s="6" t="s">
        <v>27</v>
      </c>
      <c r="J297" s="6" t="s">
        <v>27</v>
      </c>
      <c r="K297" s="6" t="s">
        <v>27</v>
      </c>
      <c r="L297" s="6" t="s">
        <v>27</v>
      </c>
      <c r="M297" s="6" t="s">
        <v>27</v>
      </c>
      <c r="N297" s="6" t="s">
        <v>27</v>
      </c>
      <c r="O297" s="6" t="s">
        <v>27</v>
      </c>
      <c r="P297" s="6" t="s">
        <v>27</v>
      </c>
      <c r="Q297" s="6"/>
      <c r="R297" s="33">
        <f t="shared" si="6"/>
        <v>2024</v>
      </c>
      <c r="S297" s="33"/>
    </row>
    <row r="298" spans="1:19" ht="14.5" x14ac:dyDescent="0.35">
      <c r="A298" s="7" t="s">
        <v>1229</v>
      </c>
      <c r="B298" s="7" t="s">
        <v>271</v>
      </c>
      <c r="C298" s="7" t="s">
        <v>61</v>
      </c>
      <c r="D298" s="7" t="s">
        <v>1843</v>
      </c>
      <c r="E298" s="7" t="s">
        <v>1575</v>
      </c>
      <c r="F298" s="8"/>
      <c r="G298" s="60"/>
      <c r="H298" s="6" t="s">
        <v>1475</v>
      </c>
      <c r="I298" s="6" t="s">
        <v>27</v>
      </c>
      <c r="J298" s="6" t="s">
        <v>27</v>
      </c>
      <c r="K298" s="6" t="s">
        <v>27</v>
      </c>
      <c r="L298" s="6" t="s">
        <v>27</v>
      </c>
      <c r="M298" s="6" t="s">
        <v>27</v>
      </c>
      <c r="N298" s="6" t="s">
        <v>27</v>
      </c>
      <c r="O298" s="6" t="s">
        <v>27</v>
      </c>
      <c r="P298" s="6" t="s">
        <v>27</v>
      </c>
      <c r="Q298" s="6"/>
      <c r="R298" s="33">
        <f t="shared" ref="R298:R325" si="7">IFERROR(2000+VALUE(LEFT(A298,2)),"")</f>
        <v>2024</v>
      </c>
      <c r="S298" s="33"/>
    </row>
    <row r="299" spans="1:19" ht="14.5" x14ac:dyDescent="0.35">
      <c r="A299" s="7" t="s">
        <v>277</v>
      </c>
      <c r="B299" s="7" t="s">
        <v>278</v>
      </c>
      <c r="C299" s="7" t="s">
        <v>42</v>
      </c>
      <c r="D299" s="7" t="s">
        <v>1844</v>
      </c>
      <c r="E299" s="7" t="s">
        <v>1845</v>
      </c>
      <c r="F299" s="8"/>
      <c r="G299" s="60"/>
      <c r="H299" s="6" t="s">
        <v>1475</v>
      </c>
      <c r="I299" s="6" t="s">
        <v>27</v>
      </c>
      <c r="J299" s="6" t="s">
        <v>27</v>
      </c>
      <c r="K299" s="6" t="s">
        <v>27</v>
      </c>
      <c r="L299" s="6" t="s">
        <v>27</v>
      </c>
      <c r="M299" s="6" t="s">
        <v>27</v>
      </c>
      <c r="N299" s="6" t="s">
        <v>27</v>
      </c>
      <c r="O299" s="6" t="s">
        <v>27</v>
      </c>
      <c r="P299" s="6" t="s">
        <v>27</v>
      </c>
      <c r="Q299" s="6"/>
      <c r="R299" s="33">
        <f t="shared" si="7"/>
        <v>2024</v>
      </c>
      <c r="S299" s="33"/>
    </row>
    <row r="300" spans="1:19" ht="14.5" x14ac:dyDescent="0.35">
      <c r="A300" s="7" t="s">
        <v>1846</v>
      </c>
      <c r="B300" s="7" t="s">
        <v>287</v>
      </c>
      <c r="C300" s="7" t="s">
        <v>82</v>
      </c>
      <c r="D300" s="7" t="s">
        <v>1527</v>
      </c>
      <c r="E300" s="7" t="s">
        <v>1847</v>
      </c>
      <c r="F300" s="8"/>
      <c r="G300" s="60"/>
      <c r="H300" s="6" t="s">
        <v>1475</v>
      </c>
      <c r="I300" s="6" t="s">
        <v>27</v>
      </c>
      <c r="J300" s="6" t="s">
        <v>27</v>
      </c>
      <c r="K300" s="6" t="s">
        <v>27</v>
      </c>
      <c r="L300" s="6" t="s">
        <v>27</v>
      </c>
      <c r="M300" s="6" t="s">
        <v>27</v>
      </c>
      <c r="N300" s="6" t="s">
        <v>27</v>
      </c>
      <c r="O300" s="6" t="s">
        <v>27</v>
      </c>
      <c r="P300" s="6" t="s">
        <v>27</v>
      </c>
      <c r="Q300" s="6"/>
      <c r="R300" s="33">
        <f t="shared" si="7"/>
        <v>2024</v>
      </c>
      <c r="S300" s="33"/>
    </row>
    <row r="301" spans="1:19" ht="14.5" x14ac:dyDescent="0.35">
      <c r="A301" s="7" t="s">
        <v>1218</v>
      </c>
      <c r="B301" s="7" t="s">
        <v>283</v>
      </c>
      <c r="C301" s="7" t="s">
        <v>61</v>
      </c>
      <c r="D301" s="7" t="s">
        <v>1848</v>
      </c>
      <c r="E301" s="7" t="s">
        <v>1020</v>
      </c>
      <c r="F301" s="8"/>
      <c r="G301" s="60"/>
      <c r="H301" s="6" t="s">
        <v>1475</v>
      </c>
      <c r="I301" s="6" t="s">
        <v>27</v>
      </c>
      <c r="J301" s="6" t="s">
        <v>27</v>
      </c>
      <c r="K301" s="6" t="s">
        <v>27</v>
      </c>
      <c r="L301" s="6" t="s">
        <v>27</v>
      </c>
      <c r="M301" s="6" t="s">
        <v>27</v>
      </c>
      <c r="N301" s="6" t="s">
        <v>27</v>
      </c>
      <c r="O301" s="6" t="s">
        <v>27</v>
      </c>
      <c r="P301" s="6" t="s">
        <v>27</v>
      </c>
      <c r="Q301" s="6"/>
      <c r="R301" s="33">
        <f t="shared" si="7"/>
        <v>2024</v>
      </c>
      <c r="S301" s="33"/>
    </row>
    <row r="302" spans="1:19" ht="14.5" x14ac:dyDescent="0.35">
      <c r="A302" s="7" t="s">
        <v>1229</v>
      </c>
      <c r="B302" s="7" t="s">
        <v>271</v>
      </c>
      <c r="C302" s="7" t="s">
        <v>61</v>
      </c>
      <c r="D302" s="7" t="s">
        <v>1843</v>
      </c>
      <c r="E302" s="7" t="s">
        <v>1575</v>
      </c>
      <c r="F302" s="8"/>
      <c r="G302" s="60"/>
      <c r="H302" s="6" t="s">
        <v>1475</v>
      </c>
      <c r="I302" s="6" t="s">
        <v>27</v>
      </c>
      <c r="J302" s="6" t="s">
        <v>27</v>
      </c>
      <c r="K302" s="6" t="s">
        <v>27</v>
      </c>
      <c r="L302" s="6" t="s">
        <v>27</v>
      </c>
      <c r="M302" s="6" t="s">
        <v>27</v>
      </c>
      <c r="N302" s="6" t="s">
        <v>27</v>
      </c>
      <c r="O302" s="6" t="s">
        <v>27</v>
      </c>
      <c r="P302" s="6" t="s">
        <v>27</v>
      </c>
      <c r="Q302" s="6"/>
      <c r="R302" s="33">
        <f t="shared" si="7"/>
        <v>2024</v>
      </c>
      <c r="S302" s="33"/>
    </row>
    <row r="303" spans="1:19" ht="14.5" x14ac:dyDescent="0.35">
      <c r="A303" s="7" t="s">
        <v>1218</v>
      </c>
      <c r="B303" s="7" t="s">
        <v>283</v>
      </c>
      <c r="C303" s="7" t="s">
        <v>61</v>
      </c>
      <c r="D303" s="7" t="s">
        <v>1849</v>
      </c>
      <c r="E303" s="7" t="s">
        <v>1850</v>
      </c>
      <c r="F303" s="8"/>
      <c r="G303" s="60"/>
      <c r="H303" s="6" t="s">
        <v>1475</v>
      </c>
      <c r="I303" s="6" t="s">
        <v>27</v>
      </c>
      <c r="J303" s="6" t="s">
        <v>27</v>
      </c>
      <c r="K303" s="6" t="s">
        <v>27</v>
      </c>
      <c r="L303" s="6" t="s">
        <v>27</v>
      </c>
      <c r="M303" s="6" t="s">
        <v>27</v>
      </c>
      <c r="N303" s="6" t="s">
        <v>27</v>
      </c>
      <c r="O303" s="6" t="s">
        <v>27</v>
      </c>
      <c r="P303" s="6" t="s">
        <v>27</v>
      </c>
      <c r="Q303" s="6"/>
      <c r="R303" s="33">
        <f t="shared" si="7"/>
        <v>2024</v>
      </c>
      <c r="S303" s="33"/>
    </row>
    <row r="304" spans="1:19" ht="14.5" x14ac:dyDescent="0.35">
      <c r="A304" s="7" t="s">
        <v>1218</v>
      </c>
      <c r="B304" s="7" t="s">
        <v>283</v>
      </c>
      <c r="C304" s="7" t="s">
        <v>61</v>
      </c>
      <c r="D304" s="7" t="s">
        <v>1851</v>
      </c>
      <c r="E304" s="7" t="s">
        <v>1183</v>
      </c>
      <c r="F304" s="8"/>
      <c r="G304" s="60"/>
      <c r="H304" s="6" t="s">
        <v>1475</v>
      </c>
      <c r="I304" s="6" t="s">
        <v>27</v>
      </c>
      <c r="J304" s="6" t="s">
        <v>27</v>
      </c>
      <c r="K304" s="6" t="s">
        <v>27</v>
      </c>
      <c r="L304" s="6" t="s">
        <v>27</v>
      </c>
      <c r="M304" s="6" t="s">
        <v>27</v>
      </c>
      <c r="N304" s="6" t="s">
        <v>27</v>
      </c>
      <c r="O304" s="6" t="s">
        <v>27</v>
      </c>
      <c r="P304" s="6" t="s">
        <v>27</v>
      </c>
      <c r="Q304" s="6"/>
      <c r="R304" s="33">
        <f t="shared" si="7"/>
        <v>2024</v>
      </c>
      <c r="S304" s="33"/>
    </row>
    <row r="305" spans="1:19" ht="14.5" x14ac:dyDescent="0.35">
      <c r="A305" s="7" t="s">
        <v>1218</v>
      </c>
      <c r="B305" s="7" t="s">
        <v>283</v>
      </c>
      <c r="C305" s="7" t="s">
        <v>61</v>
      </c>
      <c r="D305" s="7" t="s">
        <v>1852</v>
      </c>
      <c r="E305" s="7" t="s">
        <v>1850</v>
      </c>
      <c r="F305" s="8"/>
      <c r="G305" s="60"/>
      <c r="H305" s="6" t="s">
        <v>1475</v>
      </c>
      <c r="I305" s="6" t="s">
        <v>27</v>
      </c>
      <c r="J305" s="6" t="s">
        <v>27</v>
      </c>
      <c r="K305" s="6" t="s">
        <v>27</v>
      </c>
      <c r="L305" s="6" t="s">
        <v>27</v>
      </c>
      <c r="M305" s="6" t="s">
        <v>27</v>
      </c>
      <c r="N305" s="6" t="s">
        <v>27</v>
      </c>
      <c r="O305" s="6" t="s">
        <v>27</v>
      </c>
      <c r="P305" s="6" t="s">
        <v>27</v>
      </c>
      <c r="Q305" s="6"/>
      <c r="R305" s="33">
        <f t="shared" si="7"/>
        <v>2024</v>
      </c>
      <c r="S305" s="33"/>
    </row>
    <row r="306" spans="1:19" ht="14.5" x14ac:dyDescent="0.35">
      <c r="A306" s="7" t="s">
        <v>1195</v>
      </c>
      <c r="B306" s="7" t="s">
        <v>320</v>
      </c>
      <c r="C306" s="7" t="s">
        <v>42</v>
      </c>
      <c r="D306" s="7" t="s">
        <v>1853</v>
      </c>
      <c r="E306" s="7" t="s">
        <v>1854</v>
      </c>
      <c r="F306" s="8"/>
      <c r="G306" s="60"/>
      <c r="H306" s="6" t="s">
        <v>1475</v>
      </c>
      <c r="I306" s="6" t="s">
        <v>27</v>
      </c>
      <c r="J306" s="6" t="s">
        <v>27</v>
      </c>
      <c r="K306" s="6" t="s">
        <v>27</v>
      </c>
      <c r="L306" s="6" t="s">
        <v>27</v>
      </c>
      <c r="M306" s="6" t="s">
        <v>27</v>
      </c>
      <c r="N306" s="6" t="s">
        <v>27</v>
      </c>
      <c r="O306" s="6" t="s">
        <v>27</v>
      </c>
      <c r="P306" s="6" t="s">
        <v>27</v>
      </c>
      <c r="Q306" s="6"/>
      <c r="R306" s="33">
        <f t="shared" si="7"/>
        <v>2024</v>
      </c>
      <c r="S306" s="33"/>
    </row>
    <row r="307" spans="1:19" ht="14.5" x14ac:dyDescent="0.35">
      <c r="A307" s="7" t="s">
        <v>1830</v>
      </c>
      <c r="B307" s="7" t="s">
        <v>314</v>
      </c>
      <c r="C307" s="7" t="s">
        <v>48</v>
      </c>
      <c r="D307" s="7" t="s">
        <v>1497</v>
      </c>
      <c r="E307" s="7" t="s">
        <v>1855</v>
      </c>
      <c r="F307" s="8"/>
      <c r="G307" s="60"/>
      <c r="H307" s="6" t="s">
        <v>1475</v>
      </c>
      <c r="I307" s="6" t="s">
        <v>27</v>
      </c>
      <c r="J307" s="6" t="s">
        <v>27</v>
      </c>
      <c r="K307" s="6" t="s">
        <v>27</v>
      </c>
      <c r="L307" s="6" t="s">
        <v>27</v>
      </c>
      <c r="M307" s="6" t="s">
        <v>27</v>
      </c>
      <c r="N307" s="6" t="s">
        <v>27</v>
      </c>
      <c r="O307" s="6" t="s">
        <v>27</v>
      </c>
      <c r="P307" s="6" t="s">
        <v>27</v>
      </c>
      <c r="Q307" s="6"/>
      <c r="R307" s="33">
        <f t="shared" si="7"/>
        <v>2024</v>
      </c>
      <c r="S307" s="33"/>
    </row>
    <row r="308" spans="1:19" ht="14.5" x14ac:dyDescent="0.35">
      <c r="A308" s="7" t="s">
        <v>1837</v>
      </c>
      <c r="B308" s="7" t="s">
        <v>336</v>
      </c>
      <c r="C308" s="7" t="s">
        <v>48</v>
      </c>
      <c r="D308" s="7" t="s">
        <v>1497</v>
      </c>
      <c r="E308" s="7" t="s">
        <v>1818</v>
      </c>
      <c r="F308" s="8"/>
      <c r="G308" s="60"/>
      <c r="H308" s="6" t="s">
        <v>1475</v>
      </c>
      <c r="I308" s="6" t="s">
        <v>27</v>
      </c>
      <c r="J308" s="6" t="s">
        <v>27</v>
      </c>
      <c r="K308" s="6" t="s">
        <v>27</v>
      </c>
      <c r="L308" s="6" t="s">
        <v>27</v>
      </c>
      <c r="M308" s="6" t="s">
        <v>27</v>
      </c>
      <c r="N308" s="6" t="s">
        <v>27</v>
      </c>
      <c r="O308" s="6" t="s">
        <v>27</v>
      </c>
      <c r="P308" s="6" t="s">
        <v>27</v>
      </c>
      <c r="Q308" s="6"/>
      <c r="R308" s="33">
        <f t="shared" si="7"/>
        <v>2024</v>
      </c>
      <c r="S308" s="33"/>
    </row>
    <row r="309" spans="1:19" ht="14.5" x14ac:dyDescent="0.35">
      <c r="A309" s="7" t="s">
        <v>1856</v>
      </c>
      <c r="B309" s="7" t="s">
        <v>316</v>
      </c>
      <c r="C309" s="7" t="s">
        <v>48</v>
      </c>
      <c r="D309" s="7" t="s">
        <v>1497</v>
      </c>
      <c r="E309" s="7" t="s">
        <v>1818</v>
      </c>
      <c r="F309" s="8"/>
      <c r="G309" s="60"/>
      <c r="H309" s="6" t="s">
        <v>1475</v>
      </c>
      <c r="I309" s="6" t="s">
        <v>27</v>
      </c>
      <c r="J309" s="6" t="s">
        <v>27</v>
      </c>
      <c r="K309" s="6" t="s">
        <v>27</v>
      </c>
      <c r="L309" s="6" t="s">
        <v>27</v>
      </c>
      <c r="M309" s="6" t="s">
        <v>27</v>
      </c>
      <c r="N309" s="6" t="s">
        <v>27</v>
      </c>
      <c r="O309" s="6" t="s">
        <v>27</v>
      </c>
      <c r="P309" s="6" t="s">
        <v>27</v>
      </c>
      <c r="Q309" s="6"/>
      <c r="R309" s="33">
        <f t="shared" si="7"/>
        <v>2024</v>
      </c>
      <c r="S309" s="33"/>
    </row>
    <row r="310" spans="1:19" ht="14.5" x14ac:dyDescent="0.35">
      <c r="A310" s="7" t="s">
        <v>289</v>
      </c>
      <c r="B310" s="7" t="s">
        <v>290</v>
      </c>
      <c r="C310" s="7" t="s">
        <v>42</v>
      </c>
      <c r="D310" s="7" t="s">
        <v>1844</v>
      </c>
      <c r="E310" s="7" t="s">
        <v>1857</v>
      </c>
      <c r="F310" s="8"/>
      <c r="G310" s="60"/>
      <c r="H310" s="6" t="s">
        <v>1475</v>
      </c>
      <c r="I310" s="6" t="s">
        <v>27</v>
      </c>
      <c r="J310" s="6" t="s">
        <v>27</v>
      </c>
      <c r="K310" s="6" t="s">
        <v>27</v>
      </c>
      <c r="L310" s="6" t="s">
        <v>27</v>
      </c>
      <c r="M310" s="6" t="s">
        <v>27</v>
      </c>
      <c r="N310" s="6" t="s">
        <v>27</v>
      </c>
      <c r="O310" s="6" t="s">
        <v>27</v>
      </c>
      <c r="P310" s="6" t="s">
        <v>27</v>
      </c>
      <c r="Q310" s="6"/>
      <c r="R310" s="33">
        <f t="shared" si="7"/>
        <v>2024</v>
      </c>
      <c r="S310" s="33"/>
    </row>
    <row r="311" spans="1:19" ht="14.5" x14ac:dyDescent="0.35">
      <c r="A311" s="7" t="s">
        <v>1856</v>
      </c>
      <c r="B311" s="7" t="s">
        <v>316</v>
      </c>
      <c r="C311" s="7" t="s">
        <v>48</v>
      </c>
      <c r="D311" s="7" t="s">
        <v>1497</v>
      </c>
      <c r="E311" s="7" t="s">
        <v>1818</v>
      </c>
      <c r="F311" s="8"/>
      <c r="G311" s="60"/>
      <c r="H311" s="6" t="s">
        <v>1475</v>
      </c>
      <c r="I311" s="6" t="s">
        <v>27</v>
      </c>
      <c r="J311" s="6" t="s">
        <v>27</v>
      </c>
      <c r="K311" s="6" t="s">
        <v>27</v>
      </c>
      <c r="L311" s="6" t="s">
        <v>27</v>
      </c>
      <c r="M311" s="6" t="s">
        <v>27</v>
      </c>
      <c r="N311" s="6" t="s">
        <v>27</v>
      </c>
      <c r="O311" s="6" t="s">
        <v>27</v>
      </c>
      <c r="P311" s="6" t="s">
        <v>27</v>
      </c>
      <c r="Q311" s="6"/>
      <c r="R311" s="33">
        <f t="shared" si="7"/>
        <v>2024</v>
      </c>
      <c r="S311" s="33"/>
    </row>
    <row r="312" spans="1:19" ht="14.5" x14ac:dyDescent="0.35">
      <c r="A312" s="7" t="s">
        <v>330</v>
      </c>
      <c r="B312" s="7" t="s">
        <v>331</v>
      </c>
      <c r="C312" s="7" t="s">
        <v>48</v>
      </c>
      <c r="D312" s="7" t="s">
        <v>1625</v>
      </c>
      <c r="E312" s="7" t="s">
        <v>1805</v>
      </c>
      <c r="F312" s="8"/>
      <c r="G312" s="60"/>
      <c r="H312" s="6" t="s">
        <v>1475</v>
      </c>
      <c r="I312" s="6" t="s">
        <v>27</v>
      </c>
      <c r="J312" s="6" t="s">
        <v>27</v>
      </c>
      <c r="K312" s="6" t="s">
        <v>27</v>
      </c>
      <c r="L312" s="6" t="s">
        <v>27</v>
      </c>
      <c r="M312" s="6" t="s">
        <v>27</v>
      </c>
      <c r="N312" s="6" t="s">
        <v>27</v>
      </c>
      <c r="O312" s="6" t="s">
        <v>27</v>
      </c>
      <c r="P312" s="6" t="s">
        <v>27</v>
      </c>
      <c r="Q312" s="6"/>
      <c r="R312" s="33">
        <f t="shared" si="7"/>
        <v>2024</v>
      </c>
      <c r="S312" s="33"/>
    </row>
    <row r="313" spans="1:19" ht="14.5" x14ac:dyDescent="0.35">
      <c r="A313" s="7" t="s">
        <v>1858</v>
      </c>
      <c r="B313" s="7" t="s">
        <v>1859</v>
      </c>
      <c r="C313" s="7" t="s">
        <v>1756</v>
      </c>
      <c r="D313" s="7" t="s">
        <v>1591</v>
      </c>
      <c r="E313" s="7" t="s">
        <v>1860</v>
      </c>
      <c r="F313" s="8"/>
      <c r="G313" s="60"/>
      <c r="H313" s="6" t="s">
        <v>749</v>
      </c>
      <c r="I313" s="175"/>
      <c r="J313" s="175"/>
      <c r="K313" s="175"/>
      <c r="L313" s="175"/>
      <c r="M313" s="175"/>
      <c r="N313" s="175"/>
      <c r="O313" s="175"/>
      <c r="P313" s="175"/>
      <c r="Q313" s="6"/>
      <c r="R313" s="33">
        <f t="shared" si="7"/>
        <v>2024</v>
      </c>
      <c r="S313" s="33"/>
    </row>
    <row r="314" spans="1:19" ht="14.5" x14ac:dyDescent="0.35">
      <c r="A314" s="7" t="s">
        <v>1218</v>
      </c>
      <c r="B314" s="7" t="s">
        <v>283</v>
      </c>
      <c r="C314" s="7" t="s">
        <v>61</v>
      </c>
      <c r="D314" s="7" t="s">
        <v>1849</v>
      </c>
      <c r="E314" s="7" t="s">
        <v>1850</v>
      </c>
      <c r="F314" s="8"/>
      <c r="G314" s="60"/>
      <c r="H314" s="6" t="s">
        <v>1475</v>
      </c>
      <c r="I314" s="6" t="s">
        <v>27</v>
      </c>
      <c r="J314" s="6" t="s">
        <v>27</v>
      </c>
      <c r="K314" s="6" t="s">
        <v>27</v>
      </c>
      <c r="L314" s="6" t="s">
        <v>27</v>
      </c>
      <c r="M314" s="6" t="s">
        <v>27</v>
      </c>
      <c r="N314" s="6" t="s">
        <v>27</v>
      </c>
      <c r="O314" s="6" t="s">
        <v>27</v>
      </c>
      <c r="P314" s="6" t="s">
        <v>27</v>
      </c>
      <c r="Q314" s="6"/>
      <c r="R314" s="33">
        <f t="shared" si="7"/>
        <v>2024</v>
      </c>
      <c r="S314" s="33"/>
    </row>
    <row r="315" spans="1:19" ht="14.5" x14ac:dyDescent="0.35">
      <c r="A315" s="7" t="s">
        <v>343</v>
      </c>
      <c r="B315" s="7" t="s">
        <v>344</v>
      </c>
      <c r="C315" s="7" t="s">
        <v>42</v>
      </c>
      <c r="D315" s="7" t="s">
        <v>1689</v>
      </c>
      <c r="E315" s="7" t="s">
        <v>1011</v>
      </c>
      <c r="F315" s="8"/>
      <c r="G315" s="60"/>
      <c r="H315" s="6" t="s">
        <v>1475</v>
      </c>
      <c r="I315" s="6" t="s">
        <v>27</v>
      </c>
      <c r="J315" s="6" t="s">
        <v>27</v>
      </c>
      <c r="K315" s="6" t="s">
        <v>27</v>
      </c>
      <c r="L315" s="6" t="s">
        <v>27</v>
      </c>
      <c r="M315" s="6" t="s">
        <v>27</v>
      </c>
      <c r="N315" s="6" t="s">
        <v>27</v>
      </c>
      <c r="O315" s="6" t="s">
        <v>27</v>
      </c>
      <c r="P315" s="6" t="s">
        <v>27</v>
      </c>
      <c r="Q315" s="6"/>
      <c r="R315" s="33">
        <f t="shared" si="7"/>
        <v>2024</v>
      </c>
      <c r="S315" s="33"/>
    </row>
    <row r="316" spans="1:19" ht="14.5" x14ac:dyDescent="0.35">
      <c r="A316" s="7" t="s">
        <v>1218</v>
      </c>
      <c r="B316" s="7" t="s">
        <v>283</v>
      </c>
      <c r="C316" s="7" t="s">
        <v>61</v>
      </c>
      <c r="D316" s="7" t="s">
        <v>1851</v>
      </c>
      <c r="E316" s="7" t="s">
        <v>1183</v>
      </c>
      <c r="F316" s="8"/>
      <c r="G316" s="60"/>
      <c r="H316" s="6" t="s">
        <v>1475</v>
      </c>
      <c r="I316" s="6" t="s">
        <v>27</v>
      </c>
      <c r="J316" s="6" t="s">
        <v>27</v>
      </c>
      <c r="K316" s="6" t="s">
        <v>27</v>
      </c>
      <c r="L316" s="6" t="s">
        <v>27</v>
      </c>
      <c r="M316" s="6" t="s">
        <v>27</v>
      </c>
      <c r="N316" s="6" t="s">
        <v>27</v>
      </c>
      <c r="O316" s="6" t="s">
        <v>27</v>
      </c>
      <c r="P316" s="6" t="s">
        <v>27</v>
      </c>
      <c r="Q316" s="6"/>
      <c r="R316" s="33">
        <f t="shared" si="7"/>
        <v>2024</v>
      </c>
      <c r="S316" s="33"/>
    </row>
    <row r="317" spans="1:19" ht="14.5" x14ac:dyDescent="0.35">
      <c r="A317" s="7" t="s">
        <v>1218</v>
      </c>
      <c r="B317" s="7" t="s">
        <v>283</v>
      </c>
      <c r="C317" s="7" t="s">
        <v>61</v>
      </c>
      <c r="D317" s="7" t="s">
        <v>1852</v>
      </c>
      <c r="E317" s="7" t="s">
        <v>1850</v>
      </c>
      <c r="F317" s="8"/>
      <c r="G317" s="60"/>
      <c r="H317" s="6" t="s">
        <v>1475</v>
      </c>
      <c r="I317" s="6" t="s">
        <v>27</v>
      </c>
      <c r="J317" s="6" t="s">
        <v>27</v>
      </c>
      <c r="K317" s="6" t="s">
        <v>27</v>
      </c>
      <c r="L317" s="6" t="s">
        <v>27</v>
      </c>
      <c r="M317" s="6" t="s">
        <v>27</v>
      </c>
      <c r="N317" s="6" t="s">
        <v>27</v>
      </c>
      <c r="O317" s="6" t="s">
        <v>27</v>
      </c>
      <c r="P317" s="6" t="s">
        <v>27</v>
      </c>
      <c r="Q317" s="6"/>
      <c r="R317" s="33">
        <f t="shared" si="7"/>
        <v>2024</v>
      </c>
      <c r="S317" s="33"/>
    </row>
    <row r="318" spans="1:19" ht="14.5" x14ac:dyDescent="0.35">
      <c r="A318" s="7" t="s">
        <v>1861</v>
      </c>
      <c r="B318" s="7" t="s">
        <v>273</v>
      </c>
      <c r="C318" s="7" t="s">
        <v>42</v>
      </c>
      <c r="D318" s="7" t="s">
        <v>1497</v>
      </c>
      <c r="E318" s="7" t="s">
        <v>1804</v>
      </c>
      <c r="F318" s="8"/>
      <c r="G318" s="60"/>
      <c r="H318" s="6" t="s">
        <v>1475</v>
      </c>
      <c r="I318" s="6" t="s">
        <v>27</v>
      </c>
      <c r="J318" s="6" t="s">
        <v>27</v>
      </c>
      <c r="K318" s="6" t="s">
        <v>27</v>
      </c>
      <c r="L318" s="6" t="s">
        <v>27</v>
      </c>
      <c r="M318" s="6" t="s">
        <v>27</v>
      </c>
      <c r="N318" s="6" t="s">
        <v>27</v>
      </c>
      <c r="O318" s="6" t="s">
        <v>27</v>
      </c>
      <c r="P318" s="6" t="s">
        <v>27</v>
      </c>
      <c r="Q318" s="6"/>
      <c r="R318" s="33">
        <f t="shared" si="7"/>
        <v>2024</v>
      </c>
      <c r="S318" s="33"/>
    </row>
    <row r="319" spans="1:19" ht="14.5" x14ac:dyDescent="0.35">
      <c r="A319" s="7" t="s">
        <v>1861</v>
      </c>
      <c r="B319" s="7" t="s">
        <v>273</v>
      </c>
      <c r="C319" s="7" t="s">
        <v>42</v>
      </c>
      <c r="D319" s="7" t="s">
        <v>1497</v>
      </c>
      <c r="E319" s="7" t="s">
        <v>1804</v>
      </c>
      <c r="F319" s="8"/>
      <c r="G319" s="60"/>
      <c r="H319" s="6" t="s">
        <v>1475</v>
      </c>
      <c r="I319" s="6" t="s">
        <v>27</v>
      </c>
      <c r="J319" s="6" t="s">
        <v>27</v>
      </c>
      <c r="K319" s="6" t="s">
        <v>27</v>
      </c>
      <c r="L319" s="6" t="s">
        <v>27</v>
      </c>
      <c r="M319" s="6" t="s">
        <v>27</v>
      </c>
      <c r="N319" s="6" t="s">
        <v>27</v>
      </c>
      <c r="O319" s="6" t="s">
        <v>27</v>
      </c>
      <c r="P319" s="6" t="s">
        <v>27</v>
      </c>
      <c r="Q319" s="6"/>
      <c r="R319" s="33">
        <f t="shared" si="7"/>
        <v>2024</v>
      </c>
      <c r="S319" s="33"/>
    </row>
    <row r="320" spans="1:19" ht="14.5" x14ac:dyDescent="0.35">
      <c r="A320" s="7" t="s">
        <v>1862</v>
      </c>
      <c r="B320" s="7" t="s">
        <v>1863</v>
      </c>
      <c r="C320" s="7" t="s">
        <v>23</v>
      </c>
      <c r="D320" s="7" t="s">
        <v>1864</v>
      </c>
      <c r="E320" s="7" t="s">
        <v>1865</v>
      </c>
      <c r="F320" s="8"/>
      <c r="G320" s="60"/>
      <c r="H320" s="6" t="s">
        <v>1475</v>
      </c>
      <c r="I320" s="6" t="s">
        <v>27</v>
      </c>
      <c r="J320" s="6" t="s">
        <v>27</v>
      </c>
      <c r="K320" s="6" t="s">
        <v>27</v>
      </c>
      <c r="L320" s="6" t="s">
        <v>27</v>
      </c>
      <c r="M320" s="6" t="s">
        <v>27</v>
      </c>
      <c r="N320" s="6" t="s">
        <v>27</v>
      </c>
      <c r="O320" s="6" t="s">
        <v>27</v>
      </c>
      <c r="P320" s="6" t="s">
        <v>27</v>
      </c>
      <c r="Q320" s="6"/>
      <c r="R320" s="33">
        <f t="shared" si="7"/>
        <v>2024</v>
      </c>
      <c r="S320" s="36"/>
    </row>
    <row r="321" spans="1:19" ht="14.5" x14ac:dyDescent="0.35">
      <c r="A321" s="7" t="s">
        <v>289</v>
      </c>
      <c r="B321" s="7" t="s">
        <v>290</v>
      </c>
      <c r="C321" s="7" t="s">
        <v>42</v>
      </c>
      <c r="D321" s="7" t="s">
        <v>1844</v>
      </c>
      <c r="E321" s="7" t="s">
        <v>1857</v>
      </c>
      <c r="F321" s="8"/>
      <c r="G321" s="60"/>
      <c r="H321" s="6" t="s">
        <v>1475</v>
      </c>
      <c r="I321" s="6" t="s">
        <v>27</v>
      </c>
      <c r="J321" s="6" t="s">
        <v>27</v>
      </c>
      <c r="K321" s="6" t="s">
        <v>27</v>
      </c>
      <c r="L321" s="6" t="s">
        <v>27</v>
      </c>
      <c r="M321" s="6" t="s">
        <v>27</v>
      </c>
      <c r="N321" s="6" t="s">
        <v>27</v>
      </c>
      <c r="O321" s="6" t="s">
        <v>27</v>
      </c>
      <c r="P321" s="6" t="s">
        <v>27</v>
      </c>
      <c r="Q321" s="6"/>
      <c r="R321" s="33">
        <f t="shared" si="7"/>
        <v>2024</v>
      </c>
      <c r="S321" s="33"/>
    </row>
    <row r="322" spans="1:19" ht="14.5" x14ac:dyDescent="0.35">
      <c r="A322" s="7" t="s">
        <v>251</v>
      </c>
      <c r="B322" s="7" t="s">
        <v>252</v>
      </c>
      <c r="C322" s="7" t="s">
        <v>1866</v>
      </c>
      <c r="D322" s="7" t="s">
        <v>1689</v>
      </c>
      <c r="E322" s="7" t="s">
        <v>1011</v>
      </c>
      <c r="F322" s="8"/>
      <c r="G322" s="60"/>
      <c r="H322" s="6" t="s">
        <v>1475</v>
      </c>
      <c r="I322" s="6" t="s">
        <v>27</v>
      </c>
      <c r="J322" s="6" t="s">
        <v>27</v>
      </c>
      <c r="K322" s="6" t="s">
        <v>27</v>
      </c>
      <c r="L322" s="6" t="s">
        <v>27</v>
      </c>
      <c r="M322" s="6" t="s">
        <v>27</v>
      </c>
      <c r="N322" s="6" t="s">
        <v>27</v>
      </c>
      <c r="O322" s="6" t="s">
        <v>27</v>
      </c>
      <c r="P322" s="6" t="s">
        <v>27</v>
      </c>
      <c r="Q322" s="6"/>
      <c r="R322" s="33">
        <f t="shared" si="7"/>
        <v>2024</v>
      </c>
      <c r="S322" s="33"/>
    </row>
    <row r="323" spans="1:19" ht="14.5" x14ac:dyDescent="0.35">
      <c r="A323" s="7" t="s">
        <v>1840</v>
      </c>
      <c r="B323" s="7" t="s">
        <v>333</v>
      </c>
      <c r="C323" s="7" t="s">
        <v>48</v>
      </c>
      <c r="D323" s="7" t="s">
        <v>1867</v>
      </c>
      <c r="E323" s="7" t="s">
        <v>1868</v>
      </c>
      <c r="F323" s="8"/>
      <c r="G323" s="60"/>
      <c r="H323" s="6" t="s">
        <v>1475</v>
      </c>
      <c r="I323" s="6" t="s">
        <v>27</v>
      </c>
      <c r="J323" s="6" t="s">
        <v>27</v>
      </c>
      <c r="K323" s="6" t="s">
        <v>27</v>
      </c>
      <c r="L323" s="6" t="s">
        <v>27</v>
      </c>
      <c r="M323" s="6" t="s">
        <v>27</v>
      </c>
      <c r="N323" s="6" t="s">
        <v>27</v>
      </c>
      <c r="O323" s="6" t="s">
        <v>27</v>
      </c>
      <c r="P323" s="6" t="s">
        <v>27</v>
      </c>
      <c r="Q323" s="6"/>
      <c r="R323" s="33">
        <f t="shared" si="7"/>
        <v>2024</v>
      </c>
      <c r="S323" s="33"/>
    </row>
    <row r="324" spans="1:19" ht="14.5" x14ac:dyDescent="0.35">
      <c r="A324" s="7" t="s">
        <v>1840</v>
      </c>
      <c r="B324" s="7" t="s">
        <v>333</v>
      </c>
      <c r="C324" s="7" t="s">
        <v>48</v>
      </c>
      <c r="D324" s="7" t="s">
        <v>1606</v>
      </c>
      <c r="E324" s="7" t="s">
        <v>1869</v>
      </c>
      <c r="F324" s="8"/>
      <c r="G324" s="60"/>
      <c r="H324" s="6" t="s">
        <v>1475</v>
      </c>
      <c r="I324" s="6" t="s">
        <v>27</v>
      </c>
      <c r="J324" s="6" t="s">
        <v>27</v>
      </c>
      <c r="K324" s="6" t="s">
        <v>27</v>
      </c>
      <c r="L324" s="6" t="s">
        <v>27</v>
      </c>
      <c r="M324" s="6" t="s">
        <v>27</v>
      </c>
      <c r="N324" s="6" t="s">
        <v>27</v>
      </c>
      <c r="O324" s="6" t="s">
        <v>27</v>
      </c>
      <c r="P324" s="6" t="s">
        <v>27</v>
      </c>
      <c r="Q324" s="6"/>
      <c r="R324" s="33">
        <f t="shared" si="7"/>
        <v>2024</v>
      </c>
      <c r="S324" s="33"/>
    </row>
    <row r="325" spans="1:19" ht="14.5" x14ac:dyDescent="0.35">
      <c r="A325" s="7" t="s">
        <v>1840</v>
      </c>
      <c r="B325" s="7" t="s">
        <v>333</v>
      </c>
      <c r="C325" s="7" t="s">
        <v>48</v>
      </c>
      <c r="D325" s="7" t="s">
        <v>1806</v>
      </c>
      <c r="E325" s="7" t="s">
        <v>1011</v>
      </c>
      <c r="F325" s="8"/>
      <c r="G325" s="60"/>
      <c r="H325" s="6" t="s">
        <v>1475</v>
      </c>
      <c r="I325" s="6" t="s">
        <v>27</v>
      </c>
      <c r="J325" s="6" t="s">
        <v>27</v>
      </c>
      <c r="K325" s="6" t="s">
        <v>27</v>
      </c>
      <c r="L325" s="6" t="s">
        <v>27</v>
      </c>
      <c r="M325" s="6" t="s">
        <v>27</v>
      </c>
      <c r="N325" s="6" t="s">
        <v>27</v>
      </c>
      <c r="O325" s="6" t="s">
        <v>27</v>
      </c>
      <c r="P325" s="6" t="s">
        <v>27</v>
      </c>
      <c r="Q325" s="6"/>
      <c r="R325" s="33">
        <f t="shared" si="7"/>
        <v>2024</v>
      </c>
      <c r="S325" s="33"/>
    </row>
    <row r="326" spans="1:19" ht="14.5" x14ac:dyDescent="0.35">
      <c r="A326" s="7" t="s">
        <v>1840</v>
      </c>
      <c r="B326" s="7" t="s">
        <v>333</v>
      </c>
      <c r="C326" s="7" t="s">
        <v>48</v>
      </c>
      <c r="D326" s="7" t="s">
        <v>1870</v>
      </c>
      <c r="E326" s="7" t="s">
        <v>1871</v>
      </c>
      <c r="F326" s="8"/>
      <c r="G326" s="60"/>
      <c r="H326" s="6" t="s">
        <v>1475</v>
      </c>
      <c r="I326" s="6" t="s">
        <v>27</v>
      </c>
      <c r="J326" s="6" t="s">
        <v>27</v>
      </c>
      <c r="K326" s="6" t="s">
        <v>27</v>
      </c>
      <c r="L326" s="6" t="s">
        <v>27</v>
      </c>
      <c r="M326" s="6" t="s">
        <v>27</v>
      </c>
      <c r="N326" s="6" t="s">
        <v>27</v>
      </c>
      <c r="O326" s="6" t="s">
        <v>27</v>
      </c>
      <c r="P326" s="6" t="s">
        <v>27</v>
      </c>
      <c r="Q326" s="6"/>
      <c r="R326" s="33">
        <f t="shared" ref="R326:R339" si="8">IFERROR(2000+VALUE(LEFT(A326,2)),"")</f>
        <v>2024</v>
      </c>
      <c r="S326" s="33"/>
    </row>
    <row r="327" spans="1:19" ht="14.5" x14ac:dyDescent="0.35">
      <c r="A327" s="7" t="s">
        <v>1840</v>
      </c>
      <c r="B327" s="7" t="s">
        <v>333</v>
      </c>
      <c r="C327" s="7" t="s">
        <v>48</v>
      </c>
      <c r="D327" s="7" t="s">
        <v>1833</v>
      </c>
      <c r="E327" s="7" t="s">
        <v>1834</v>
      </c>
      <c r="F327" s="8"/>
      <c r="G327" s="60"/>
      <c r="H327" s="6" t="s">
        <v>749</v>
      </c>
      <c r="I327" s="175"/>
      <c r="J327" s="175"/>
      <c r="K327" s="175"/>
      <c r="L327" s="175"/>
      <c r="M327" s="175"/>
      <c r="N327" s="175"/>
      <c r="O327" s="175"/>
      <c r="P327" s="175"/>
      <c r="Q327" s="6"/>
      <c r="R327" s="33">
        <f t="shared" si="8"/>
        <v>2024</v>
      </c>
      <c r="S327" s="33"/>
    </row>
    <row r="328" spans="1:19" ht="14.5" x14ac:dyDescent="0.35">
      <c r="A328" s="7" t="s">
        <v>1840</v>
      </c>
      <c r="B328" s="7" t="s">
        <v>333</v>
      </c>
      <c r="C328" s="7" t="s">
        <v>48</v>
      </c>
      <c r="D328" s="7" t="s">
        <v>1697</v>
      </c>
      <c r="E328" s="7" t="s">
        <v>1187</v>
      </c>
      <c r="F328" s="8"/>
      <c r="G328" s="60"/>
      <c r="H328" s="6" t="s">
        <v>1475</v>
      </c>
      <c r="I328" s="6" t="s">
        <v>27</v>
      </c>
      <c r="J328" s="6" t="s">
        <v>27</v>
      </c>
      <c r="K328" s="6" t="s">
        <v>27</v>
      </c>
      <c r="L328" s="6" t="s">
        <v>27</v>
      </c>
      <c r="M328" s="6" t="s">
        <v>27</v>
      </c>
      <c r="N328" s="6" t="s">
        <v>27</v>
      </c>
      <c r="O328" s="6" t="s">
        <v>27</v>
      </c>
      <c r="P328" s="6" t="s">
        <v>27</v>
      </c>
      <c r="Q328" s="6"/>
      <c r="R328" s="33">
        <f t="shared" si="8"/>
        <v>2024</v>
      </c>
      <c r="S328" s="33"/>
    </row>
    <row r="329" spans="1:19" ht="14.5" x14ac:dyDescent="0.35">
      <c r="A329" s="7" t="s">
        <v>1840</v>
      </c>
      <c r="B329" s="7" t="s">
        <v>333</v>
      </c>
      <c r="C329" s="7" t="s">
        <v>48</v>
      </c>
      <c r="D329" s="7" t="s">
        <v>1798</v>
      </c>
      <c r="E329" s="7" t="s">
        <v>1722</v>
      </c>
      <c r="F329" s="8"/>
      <c r="G329" s="60"/>
      <c r="H329" s="6" t="s">
        <v>1475</v>
      </c>
      <c r="I329" s="6" t="s">
        <v>27</v>
      </c>
      <c r="J329" s="6" t="s">
        <v>27</v>
      </c>
      <c r="K329" s="6" t="s">
        <v>27</v>
      </c>
      <c r="L329" s="6" t="s">
        <v>27</v>
      </c>
      <c r="M329" s="6" t="s">
        <v>27</v>
      </c>
      <c r="N329" s="6" t="s">
        <v>27</v>
      </c>
      <c r="O329" s="6" t="s">
        <v>27</v>
      </c>
      <c r="P329" s="6" t="s">
        <v>27</v>
      </c>
      <c r="Q329" s="6"/>
      <c r="R329" s="33">
        <f t="shared" si="8"/>
        <v>2024</v>
      </c>
      <c r="S329" s="33"/>
    </row>
    <row r="330" spans="1:19" ht="14.5" x14ac:dyDescent="0.35">
      <c r="A330" s="7" t="s">
        <v>1840</v>
      </c>
      <c r="B330" s="7" t="s">
        <v>333</v>
      </c>
      <c r="C330" s="7" t="s">
        <v>48</v>
      </c>
      <c r="D330" s="7" t="s">
        <v>1872</v>
      </c>
      <c r="E330" s="7" t="s">
        <v>1873</v>
      </c>
      <c r="F330" s="8"/>
      <c r="G330" s="60"/>
      <c r="H330" s="6" t="s">
        <v>1475</v>
      </c>
      <c r="I330" s="6" t="s">
        <v>27</v>
      </c>
      <c r="J330" s="6" t="s">
        <v>27</v>
      </c>
      <c r="K330" s="6" t="s">
        <v>27</v>
      </c>
      <c r="L330" s="6" t="s">
        <v>27</v>
      </c>
      <c r="M330" s="6" t="s">
        <v>27</v>
      </c>
      <c r="N330" s="6" t="s">
        <v>27</v>
      </c>
      <c r="O330" s="6" t="s">
        <v>27</v>
      </c>
      <c r="P330" s="6" t="s">
        <v>27</v>
      </c>
      <c r="Q330" s="6"/>
      <c r="R330" s="33">
        <f t="shared" si="8"/>
        <v>2024</v>
      </c>
      <c r="S330" s="33"/>
    </row>
    <row r="331" spans="1:19" ht="14.5" x14ac:dyDescent="0.35">
      <c r="A331" s="7" t="s">
        <v>1830</v>
      </c>
      <c r="B331" s="7" t="s">
        <v>314</v>
      </c>
      <c r="C331" s="7" t="s">
        <v>48</v>
      </c>
      <c r="D331" s="7" t="s">
        <v>1798</v>
      </c>
      <c r="E331" s="7" t="s">
        <v>1722</v>
      </c>
      <c r="F331" s="8"/>
      <c r="G331" s="60"/>
      <c r="H331" s="6" t="s">
        <v>1475</v>
      </c>
      <c r="I331" s="6" t="s">
        <v>27</v>
      </c>
      <c r="J331" s="6" t="s">
        <v>27</v>
      </c>
      <c r="K331" s="6" t="s">
        <v>27</v>
      </c>
      <c r="L331" s="6" t="s">
        <v>27</v>
      </c>
      <c r="M331" s="6" t="s">
        <v>27</v>
      </c>
      <c r="N331" s="6" t="s">
        <v>27</v>
      </c>
      <c r="O331" s="6" t="s">
        <v>27</v>
      </c>
      <c r="P331" s="6" t="s">
        <v>27</v>
      </c>
      <c r="Q331" s="6"/>
      <c r="R331" s="33">
        <f t="shared" si="8"/>
        <v>2024</v>
      </c>
      <c r="S331" s="33"/>
    </row>
    <row r="332" spans="1:19" ht="14.5" x14ac:dyDescent="0.35">
      <c r="A332" s="7" t="s">
        <v>343</v>
      </c>
      <c r="B332" s="7" t="s">
        <v>344</v>
      </c>
      <c r="C332" s="7" t="s">
        <v>42</v>
      </c>
      <c r="D332" s="7" t="s">
        <v>1501</v>
      </c>
      <c r="E332" s="7" t="s">
        <v>1696</v>
      </c>
      <c r="F332" s="8"/>
      <c r="G332" s="60"/>
      <c r="H332" s="6" t="s">
        <v>1475</v>
      </c>
      <c r="I332" s="6" t="s">
        <v>27</v>
      </c>
      <c r="J332" s="6" t="s">
        <v>27</v>
      </c>
      <c r="K332" s="6" t="s">
        <v>27</v>
      </c>
      <c r="L332" s="6" t="s">
        <v>27</v>
      </c>
      <c r="M332" s="6" t="s">
        <v>27</v>
      </c>
      <c r="N332" s="6" t="s">
        <v>27</v>
      </c>
      <c r="O332" s="6" t="s">
        <v>27</v>
      </c>
      <c r="P332" s="6" t="s">
        <v>27</v>
      </c>
      <c r="Q332" s="6"/>
      <c r="R332" s="33">
        <f t="shared" si="8"/>
        <v>2024</v>
      </c>
      <c r="S332" s="33"/>
    </row>
    <row r="333" spans="1:19" ht="14.5" x14ac:dyDescent="0.35">
      <c r="A333" s="7" t="s">
        <v>392</v>
      </c>
      <c r="B333" s="7" t="s">
        <v>1153</v>
      </c>
      <c r="C333" s="7" t="s">
        <v>42</v>
      </c>
      <c r="D333" s="7" t="s">
        <v>1684</v>
      </c>
      <c r="E333" s="7" t="s">
        <v>1113</v>
      </c>
      <c r="F333" s="8"/>
      <c r="G333" s="60"/>
      <c r="H333" s="6" t="s">
        <v>1475</v>
      </c>
      <c r="I333" s="6" t="s">
        <v>27</v>
      </c>
      <c r="J333" s="6" t="s">
        <v>27</v>
      </c>
      <c r="K333" s="6" t="s">
        <v>27</v>
      </c>
      <c r="L333" s="6" t="s">
        <v>27</v>
      </c>
      <c r="M333" s="6" t="s">
        <v>27</v>
      </c>
      <c r="N333" s="6" t="s">
        <v>27</v>
      </c>
      <c r="O333" s="6" t="s">
        <v>27</v>
      </c>
      <c r="P333" s="6" t="s">
        <v>27</v>
      </c>
      <c r="Q333" s="6"/>
      <c r="R333" s="33">
        <f t="shared" si="8"/>
        <v>2024</v>
      </c>
      <c r="S333" s="33"/>
    </row>
    <row r="334" spans="1:19" ht="14.5" x14ac:dyDescent="0.35">
      <c r="A334" s="7" t="s">
        <v>1830</v>
      </c>
      <c r="B334" s="7" t="s">
        <v>314</v>
      </c>
      <c r="C334" s="7" t="s">
        <v>48</v>
      </c>
      <c r="D334" s="7" t="s">
        <v>1874</v>
      </c>
      <c r="E334" s="7" t="s">
        <v>1763</v>
      </c>
      <c r="F334" s="8"/>
      <c r="G334" s="60"/>
      <c r="H334" s="6" t="s">
        <v>1475</v>
      </c>
      <c r="I334" s="6" t="s">
        <v>27</v>
      </c>
      <c r="J334" s="6" t="s">
        <v>27</v>
      </c>
      <c r="K334" s="6" t="s">
        <v>27</v>
      </c>
      <c r="L334" s="6" t="s">
        <v>27</v>
      </c>
      <c r="M334" s="6" t="s">
        <v>27</v>
      </c>
      <c r="N334" s="6" t="s">
        <v>27</v>
      </c>
      <c r="O334" s="6" t="s">
        <v>27</v>
      </c>
      <c r="P334" s="6" t="s">
        <v>27</v>
      </c>
      <c r="Q334" s="6"/>
      <c r="R334" s="33">
        <f t="shared" si="8"/>
        <v>2024</v>
      </c>
      <c r="S334" s="33"/>
    </row>
    <row r="335" spans="1:19" ht="14.5" x14ac:dyDescent="0.35">
      <c r="A335" s="7" t="s">
        <v>1830</v>
      </c>
      <c r="B335" s="7" t="s">
        <v>314</v>
      </c>
      <c r="C335" s="7" t="s">
        <v>48</v>
      </c>
      <c r="D335" s="7" t="s">
        <v>1872</v>
      </c>
      <c r="E335" s="7" t="s">
        <v>1873</v>
      </c>
      <c r="F335" s="8"/>
      <c r="G335" s="60"/>
      <c r="H335" s="6" t="s">
        <v>1475</v>
      </c>
      <c r="I335" s="6" t="s">
        <v>27</v>
      </c>
      <c r="J335" s="6" t="s">
        <v>27</v>
      </c>
      <c r="K335" s="6" t="s">
        <v>27</v>
      </c>
      <c r="L335" s="6" t="s">
        <v>27</v>
      </c>
      <c r="M335" s="6" t="s">
        <v>27</v>
      </c>
      <c r="N335" s="6" t="s">
        <v>27</v>
      </c>
      <c r="O335" s="6" t="s">
        <v>27</v>
      </c>
      <c r="P335" s="6" t="s">
        <v>27</v>
      </c>
      <c r="Q335" s="6"/>
      <c r="R335" s="33">
        <f t="shared" si="8"/>
        <v>2024</v>
      </c>
      <c r="S335" s="33"/>
    </row>
    <row r="336" spans="1:19" ht="14.5" x14ac:dyDescent="0.35">
      <c r="A336" s="7" t="s">
        <v>1830</v>
      </c>
      <c r="B336" s="7" t="s">
        <v>314</v>
      </c>
      <c r="C336" s="7" t="s">
        <v>48</v>
      </c>
      <c r="D336" s="7" t="s">
        <v>1497</v>
      </c>
      <c r="E336" s="7" t="s">
        <v>1875</v>
      </c>
      <c r="F336" s="8"/>
      <c r="G336" s="60"/>
      <c r="H336" s="6" t="s">
        <v>749</v>
      </c>
      <c r="I336" s="175"/>
      <c r="J336" s="175"/>
      <c r="K336" s="175"/>
      <c r="L336" s="175"/>
      <c r="M336" s="175"/>
      <c r="N336" s="175"/>
      <c r="O336" s="175"/>
      <c r="P336" s="175"/>
      <c r="Q336" s="6"/>
      <c r="R336" s="33">
        <f t="shared" si="8"/>
        <v>2024</v>
      </c>
      <c r="S336" s="33"/>
    </row>
    <row r="337" spans="1:19" ht="14.5" x14ac:dyDescent="0.35">
      <c r="A337" s="7" t="s">
        <v>1840</v>
      </c>
      <c r="B337" s="7" t="s">
        <v>333</v>
      </c>
      <c r="C337" s="7" t="s">
        <v>48</v>
      </c>
      <c r="D337" s="7" t="s">
        <v>1876</v>
      </c>
      <c r="E337" s="7" t="s">
        <v>1834</v>
      </c>
      <c r="F337" s="8"/>
      <c r="G337" s="60"/>
      <c r="H337" s="6" t="s">
        <v>1475</v>
      </c>
      <c r="I337" s="6" t="s">
        <v>27</v>
      </c>
      <c r="J337" s="6" t="s">
        <v>27</v>
      </c>
      <c r="K337" s="6" t="s">
        <v>27</v>
      </c>
      <c r="L337" s="6" t="s">
        <v>27</v>
      </c>
      <c r="M337" s="6" t="s">
        <v>27</v>
      </c>
      <c r="N337" s="6" t="s">
        <v>27</v>
      </c>
      <c r="O337" s="6" t="s">
        <v>27</v>
      </c>
      <c r="P337" s="6" t="s">
        <v>27</v>
      </c>
      <c r="Q337" s="6"/>
      <c r="R337" s="33">
        <f t="shared" si="8"/>
        <v>2024</v>
      </c>
      <c r="S337" s="33"/>
    </row>
    <row r="338" spans="1:19" ht="14.5" x14ac:dyDescent="0.35">
      <c r="A338" s="7" t="s">
        <v>1830</v>
      </c>
      <c r="B338" s="7" t="s">
        <v>314</v>
      </c>
      <c r="C338" s="7" t="s">
        <v>48</v>
      </c>
      <c r="D338" s="7" t="s">
        <v>1877</v>
      </c>
      <c r="E338" s="7" t="s">
        <v>1878</v>
      </c>
      <c r="F338" s="8"/>
      <c r="G338" s="60"/>
      <c r="H338" s="6" t="s">
        <v>1475</v>
      </c>
      <c r="I338" s="6" t="s">
        <v>27</v>
      </c>
      <c r="J338" s="6" t="s">
        <v>27</v>
      </c>
      <c r="K338" s="6" t="s">
        <v>27</v>
      </c>
      <c r="L338" s="6" t="s">
        <v>27</v>
      </c>
      <c r="M338" s="6" t="s">
        <v>27</v>
      </c>
      <c r="N338" s="6" t="s">
        <v>27</v>
      </c>
      <c r="O338" s="6" t="s">
        <v>27</v>
      </c>
      <c r="P338" s="6" t="s">
        <v>27</v>
      </c>
      <c r="Q338" s="6"/>
      <c r="R338" s="33">
        <f t="shared" si="8"/>
        <v>2024</v>
      </c>
      <c r="S338" s="33"/>
    </row>
    <row r="339" spans="1:19" ht="14.5" x14ac:dyDescent="0.35">
      <c r="A339" s="7" t="s">
        <v>1797</v>
      </c>
      <c r="B339" s="7" t="s">
        <v>340</v>
      </c>
      <c r="C339" s="7" t="s">
        <v>48</v>
      </c>
      <c r="D339" s="7" t="s">
        <v>1879</v>
      </c>
      <c r="E339" s="7" t="s">
        <v>1880</v>
      </c>
      <c r="F339" s="8"/>
      <c r="G339" s="60"/>
      <c r="H339" s="6" t="s">
        <v>1475</v>
      </c>
      <c r="I339" s="6" t="s">
        <v>27</v>
      </c>
      <c r="J339" s="6" t="s">
        <v>27</v>
      </c>
      <c r="K339" s="6" t="s">
        <v>27</v>
      </c>
      <c r="L339" s="6" t="s">
        <v>27</v>
      </c>
      <c r="M339" s="6" t="s">
        <v>27</v>
      </c>
      <c r="N339" s="6" t="s">
        <v>27</v>
      </c>
      <c r="O339" s="6" t="s">
        <v>27</v>
      </c>
      <c r="P339" s="6" t="s">
        <v>27</v>
      </c>
      <c r="Q339" s="6"/>
      <c r="R339" s="33">
        <f t="shared" si="8"/>
        <v>2024</v>
      </c>
      <c r="S339" s="33"/>
    </row>
    <row r="340" spans="1:19" ht="14.5" x14ac:dyDescent="0.35">
      <c r="A340" s="7" t="s">
        <v>1825</v>
      </c>
      <c r="B340" s="7" t="s">
        <v>326</v>
      </c>
      <c r="C340" s="7" t="s">
        <v>1756</v>
      </c>
      <c r="D340" s="7" t="s">
        <v>1881</v>
      </c>
      <c r="E340" s="7" t="s">
        <v>1775</v>
      </c>
      <c r="F340" s="8"/>
      <c r="G340" s="60"/>
      <c r="H340" s="6" t="s">
        <v>1475</v>
      </c>
      <c r="I340" s="6" t="s">
        <v>27</v>
      </c>
      <c r="J340" s="6" t="s">
        <v>27</v>
      </c>
      <c r="K340" s="6" t="s">
        <v>27</v>
      </c>
      <c r="L340" s="6" t="s">
        <v>27</v>
      </c>
      <c r="M340" s="6" t="s">
        <v>27</v>
      </c>
      <c r="N340" s="6" t="s">
        <v>27</v>
      </c>
      <c r="O340" s="6" t="s">
        <v>27</v>
      </c>
      <c r="P340" s="6" t="s">
        <v>27</v>
      </c>
      <c r="Q340" s="6"/>
      <c r="R340" s="33">
        <f t="shared" ref="R340:R384" si="9">IFERROR(2000+VALUE(LEFT(A340,2)),"")</f>
        <v>2024</v>
      </c>
      <c r="S340" s="33"/>
    </row>
    <row r="341" spans="1:19" ht="14.5" x14ac:dyDescent="0.35">
      <c r="A341" s="7" t="s">
        <v>1830</v>
      </c>
      <c r="B341" s="7" t="s">
        <v>314</v>
      </c>
      <c r="C341" s="7" t="s">
        <v>48</v>
      </c>
      <c r="D341" s="7" t="s">
        <v>1882</v>
      </c>
      <c r="E341" s="7" t="s">
        <v>1883</v>
      </c>
      <c r="F341" s="8"/>
      <c r="G341" s="60"/>
      <c r="H341" s="6" t="s">
        <v>749</v>
      </c>
      <c r="I341" s="175"/>
      <c r="J341" s="175"/>
      <c r="K341" s="175"/>
      <c r="L341" s="175"/>
      <c r="M341" s="175"/>
      <c r="N341" s="175"/>
      <c r="O341" s="175"/>
      <c r="P341" s="175"/>
      <c r="Q341" s="6"/>
      <c r="R341" s="33">
        <f t="shared" si="9"/>
        <v>2024</v>
      </c>
      <c r="S341" s="33"/>
    </row>
    <row r="342" spans="1:19" ht="14.5" x14ac:dyDescent="0.35">
      <c r="A342" s="7" t="s">
        <v>1840</v>
      </c>
      <c r="B342" s="7" t="s">
        <v>333</v>
      </c>
      <c r="C342" s="7" t="s">
        <v>48</v>
      </c>
      <c r="D342" s="7" t="s">
        <v>1884</v>
      </c>
      <c r="E342" s="7" t="s">
        <v>1885</v>
      </c>
      <c r="F342" s="8"/>
      <c r="G342" s="60"/>
      <c r="H342" s="6" t="s">
        <v>1475</v>
      </c>
      <c r="I342" s="6" t="s">
        <v>27</v>
      </c>
      <c r="J342" s="6" t="s">
        <v>27</v>
      </c>
      <c r="K342" s="6" t="s">
        <v>27</v>
      </c>
      <c r="L342" s="6" t="s">
        <v>27</v>
      </c>
      <c r="M342" s="6" t="s">
        <v>27</v>
      </c>
      <c r="N342" s="6" t="s">
        <v>27</v>
      </c>
      <c r="O342" s="6" t="s">
        <v>27</v>
      </c>
      <c r="P342" s="6" t="s">
        <v>27</v>
      </c>
      <c r="Q342" s="6"/>
      <c r="R342" s="33">
        <f t="shared" si="9"/>
        <v>2024</v>
      </c>
      <c r="S342" s="33"/>
    </row>
    <row r="343" spans="1:19" ht="14.5" x14ac:dyDescent="0.35">
      <c r="A343" s="7" t="s">
        <v>1830</v>
      </c>
      <c r="B343" s="7" t="s">
        <v>314</v>
      </c>
      <c r="C343" s="7" t="s">
        <v>48</v>
      </c>
      <c r="D343" s="7" t="s">
        <v>1886</v>
      </c>
      <c r="E343" s="7" t="s">
        <v>1887</v>
      </c>
      <c r="F343" s="8"/>
      <c r="G343" s="60"/>
      <c r="H343" s="6" t="s">
        <v>1475</v>
      </c>
      <c r="I343" s="6" t="s">
        <v>27</v>
      </c>
      <c r="J343" s="6" t="s">
        <v>27</v>
      </c>
      <c r="K343" s="6" t="s">
        <v>27</v>
      </c>
      <c r="L343" s="6" t="s">
        <v>27</v>
      </c>
      <c r="M343" s="6" t="s">
        <v>27</v>
      </c>
      <c r="N343" s="6" t="s">
        <v>27</v>
      </c>
      <c r="O343" s="6" t="s">
        <v>27</v>
      </c>
      <c r="P343" s="6" t="s">
        <v>27</v>
      </c>
      <c r="Q343" s="6"/>
      <c r="R343" s="33">
        <f t="shared" si="9"/>
        <v>2024</v>
      </c>
      <c r="S343" s="33"/>
    </row>
    <row r="344" spans="1:19" ht="14.5" x14ac:dyDescent="0.35">
      <c r="A344" s="7" t="s">
        <v>1830</v>
      </c>
      <c r="B344" s="7" t="s">
        <v>314</v>
      </c>
      <c r="C344" s="7" t="s">
        <v>48</v>
      </c>
      <c r="D344" s="7" t="s">
        <v>1490</v>
      </c>
      <c r="E344" s="7" t="s">
        <v>1888</v>
      </c>
      <c r="F344" s="8"/>
      <c r="G344" s="60"/>
      <c r="H344" s="6" t="s">
        <v>1475</v>
      </c>
      <c r="I344" s="6" t="s">
        <v>27</v>
      </c>
      <c r="J344" s="6" t="s">
        <v>27</v>
      </c>
      <c r="K344" s="6" t="s">
        <v>27</v>
      </c>
      <c r="L344" s="6" t="s">
        <v>27</v>
      </c>
      <c r="M344" s="6" t="s">
        <v>27</v>
      </c>
      <c r="N344" s="6" t="s">
        <v>27</v>
      </c>
      <c r="O344" s="6" t="s">
        <v>27</v>
      </c>
      <c r="P344" s="6" t="s">
        <v>27</v>
      </c>
      <c r="Q344" s="6"/>
      <c r="R344" s="33">
        <f t="shared" si="9"/>
        <v>2024</v>
      </c>
      <c r="S344" s="33"/>
    </row>
    <row r="345" spans="1:19" ht="14.5" x14ac:dyDescent="0.35">
      <c r="A345" s="7" t="s">
        <v>1830</v>
      </c>
      <c r="B345" s="7" t="s">
        <v>314</v>
      </c>
      <c r="C345" s="7" t="s">
        <v>48</v>
      </c>
      <c r="D345" s="7" t="s">
        <v>1881</v>
      </c>
      <c r="E345" s="7" t="s">
        <v>1883</v>
      </c>
      <c r="F345" s="8"/>
      <c r="G345" s="60"/>
      <c r="H345" s="6" t="s">
        <v>1475</v>
      </c>
      <c r="I345" s="6" t="s">
        <v>27</v>
      </c>
      <c r="J345" s="6" t="s">
        <v>27</v>
      </c>
      <c r="K345" s="6" t="s">
        <v>27</v>
      </c>
      <c r="L345" s="6" t="s">
        <v>27</v>
      </c>
      <c r="M345" s="6" t="s">
        <v>27</v>
      </c>
      <c r="N345" s="6" t="s">
        <v>27</v>
      </c>
      <c r="O345" s="6" t="s">
        <v>27</v>
      </c>
      <c r="P345" s="6" t="s">
        <v>27</v>
      </c>
      <c r="Q345" s="6"/>
      <c r="R345" s="33">
        <f t="shared" si="9"/>
        <v>2024</v>
      </c>
      <c r="S345" s="33"/>
    </row>
    <row r="346" spans="1:19" ht="14.5" x14ac:dyDescent="0.35">
      <c r="A346" s="7" t="s">
        <v>1830</v>
      </c>
      <c r="B346" s="7" t="s">
        <v>314</v>
      </c>
      <c r="C346" s="7" t="s">
        <v>48</v>
      </c>
      <c r="D346" s="7" t="s">
        <v>1876</v>
      </c>
      <c r="E346" s="7" t="s">
        <v>1796</v>
      </c>
      <c r="F346" s="8"/>
      <c r="G346" s="60"/>
      <c r="H346" s="6" t="s">
        <v>1475</v>
      </c>
      <c r="I346" s="6" t="s">
        <v>27</v>
      </c>
      <c r="J346" s="6" t="s">
        <v>27</v>
      </c>
      <c r="K346" s="6" t="s">
        <v>27</v>
      </c>
      <c r="L346" s="6" t="s">
        <v>27</v>
      </c>
      <c r="M346" s="6" t="s">
        <v>27</v>
      </c>
      <c r="N346" s="6" t="s">
        <v>27</v>
      </c>
      <c r="O346" s="6" t="s">
        <v>27</v>
      </c>
      <c r="P346" s="6" t="s">
        <v>27</v>
      </c>
      <c r="Q346" s="6"/>
      <c r="R346" s="33">
        <f t="shared" si="9"/>
        <v>2024</v>
      </c>
      <c r="S346" s="33"/>
    </row>
    <row r="347" spans="1:19" ht="14.5" x14ac:dyDescent="0.35">
      <c r="A347" s="7" t="s">
        <v>1862</v>
      </c>
      <c r="B347" s="7" t="s">
        <v>1863</v>
      </c>
      <c r="C347" s="7" t="s">
        <v>23</v>
      </c>
      <c r="D347" s="7" t="s">
        <v>1889</v>
      </c>
      <c r="E347" s="7" t="s">
        <v>1890</v>
      </c>
      <c r="F347" s="8"/>
      <c r="G347" s="60"/>
      <c r="H347" s="6" t="s">
        <v>1475</v>
      </c>
      <c r="I347" s="6" t="s">
        <v>27</v>
      </c>
      <c r="J347" s="6" t="s">
        <v>27</v>
      </c>
      <c r="K347" s="6" t="s">
        <v>27</v>
      </c>
      <c r="L347" s="6" t="s">
        <v>27</v>
      </c>
      <c r="M347" s="6" t="s">
        <v>27</v>
      </c>
      <c r="N347" s="6" t="s">
        <v>27</v>
      </c>
      <c r="O347" s="6" t="s">
        <v>27</v>
      </c>
      <c r="P347" s="6" t="s">
        <v>27</v>
      </c>
      <c r="Q347" s="6"/>
      <c r="R347" s="33">
        <f t="shared" si="9"/>
        <v>2024</v>
      </c>
      <c r="S347" s="36"/>
    </row>
    <row r="348" spans="1:19" ht="14.5" x14ac:dyDescent="0.35">
      <c r="A348" s="7" t="s">
        <v>1858</v>
      </c>
      <c r="B348" s="7" t="s">
        <v>1859</v>
      </c>
      <c r="C348" s="7" t="s">
        <v>1756</v>
      </c>
      <c r="D348" s="7" t="s">
        <v>1635</v>
      </c>
      <c r="E348" s="7" t="s">
        <v>1860</v>
      </c>
      <c r="F348" s="8"/>
      <c r="G348" s="60"/>
      <c r="H348" s="6" t="s">
        <v>1475</v>
      </c>
      <c r="I348" s="6" t="s">
        <v>27</v>
      </c>
      <c r="J348" s="6" t="s">
        <v>27</v>
      </c>
      <c r="K348" s="6" t="s">
        <v>27</v>
      </c>
      <c r="L348" s="6" t="s">
        <v>27</v>
      </c>
      <c r="M348" s="6" t="s">
        <v>27</v>
      </c>
      <c r="N348" s="6" t="s">
        <v>27</v>
      </c>
      <c r="O348" s="6" t="s">
        <v>27</v>
      </c>
      <c r="P348" s="6" t="s">
        <v>27</v>
      </c>
      <c r="Q348" s="6"/>
      <c r="R348" s="33">
        <f t="shared" si="9"/>
        <v>2024</v>
      </c>
      <c r="S348" s="33"/>
    </row>
    <row r="349" spans="1:19" ht="14.5" x14ac:dyDescent="0.35">
      <c r="A349" s="7" t="s">
        <v>1862</v>
      </c>
      <c r="B349" s="7" t="s">
        <v>1863</v>
      </c>
      <c r="C349" s="7" t="s">
        <v>23</v>
      </c>
      <c r="D349" s="7" t="s">
        <v>1891</v>
      </c>
      <c r="E349" s="7" t="s">
        <v>1892</v>
      </c>
      <c r="F349" s="8"/>
      <c r="G349" s="60"/>
      <c r="H349" s="6" t="s">
        <v>1475</v>
      </c>
      <c r="I349" s="6" t="s">
        <v>27</v>
      </c>
      <c r="J349" s="6" t="s">
        <v>27</v>
      </c>
      <c r="K349" s="6" t="s">
        <v>27</v>
      </c>
      <c r="L349" s="6" t="s">
        <v>27</v>
      </c>
      <c r="M349" s="6" t="s">
        <v>27</v>
      </c>
      <c r="N349" s="6" t="s">
        <v>27</v>
      </c>
      <c r="O349" s="6" t="s">
        <v>27</v>
      </c>
      <c r="P349" s="6" t="s">
        <v>27</v>
      </c>
      <c r="Q349" s="6"/>
      <c r="R349" s="33">
        <f t="shared" si="9"/>
        <v>2024</v>
      </c>
      <c r="S349" s="36"/>
    </row>
    <row r="350" spans="1:19" ht="14.5" x14ac:dyDescent="0.35">
      <c r="A350" s="7" t="s">
        <v>1797</v>
      </c>
      <c r="B350" s="7" t="s">
        <v>340</v>
      </c>
      <c r="C350" s="7" t="s">
        <v>48</v>
      </c>
      <c r="D350" s="7" t="s">
        <v>1697</v>
      </c>
      <c r="E350" s="7" t="s">
        <v>1698</v>
      </c>
      <c r="F350" s="7"/>
      <c r="G350" s="60"/>
      <c r="H350" s="6" t="s">
        <v>1071</v>
      </c>
      <c r="I350" s="176" t="s">
        <v>28</v>
      </c>
      <c r="J350" s="6"/>
      <c r="K350" s="6"/>
      <c r="L350" s="6"/>
      <c r="M350" s="6"/>
      <c r="N350" s="6"/>
      <c r="O350" s="6"/>
      <c r="P350" s="6"/>
      <c r="Q350" s="6" t="s">
        <v>1055</v>
      </c>
      <c r="R350" s="33">
        <f t="shared" si="9"/>
        <v>2024</v>
      </c>
      <c r="S350" s="33"/>
    </row>
    <row r="351" spans="1:19" ht="14.5" x14ac:dyDescent="0.35">
      <c r="A351" s="7" t="s">
        <v>1858</v>
      </c>
      <c r="B351" s="7" t="s">
        <v>1859</v>
      </c>
      <c r="C351" s="7" t="s">
        <v>1756</v>
      </c>
      <c r="D351" s="7" t="s">
        <v>1591</v>
      </c>
      <c r="E351" s="7" t="s">
        <v>1860</v>
      </c>
      <c r="F351" s="8"/>
      <c r="G351" s="60"/>
      <c r="H351" s="6" t="s">
        <v>749</v>
      </c>
      <c r="I351" s="175"/>
      <c r="J351" s="175"/>
      <c r="K351" s="175"/>
      <c r="L351" s="175"/>
      <c r="M351" s="175"/>
      <c r="N351" s="175"/>
      <c r="O351" s="175"/>
      <c r="P351" s="175"/>
      <c r="Q351" s="6"/>
      <c r="R351" s="33">
        <f t="shared" si="9"/>
        <v>2024</v>
      </c>
      <c r="S351" s="33"/>
    </row>
    <row r="352" spans="1:19" ht="14.5" x14ac:dyDescent="0.35">
      <c r="A352" s="7" t="s">
        <v>1846</v>
      </c>
      <c r="B352" s="7" t="s">
        <v>287</v>
      </c>
      <c r="C352" s="7" t="s">
        <v>82</v>
      </c>
      <c r="D352" s="7" t="s">
        <v>1527</v>
      </c>
      <c r="E352" s="7" t="s">
        <v>1847</v>
      </c>
      <c r="F352" s="8"/>
      <c r="G352" s="60"/>
      <c r="H352" s="6" t="s">
        <v>1475</v>
      </c>
      <c r="I352" s="6" t="s">
        <v>27</v>
      </c>
      <c r="J352" s="6" t="s">
        <v>27</v>
      </c>
      <c r="K352" s="6" t="s">
        <v>27</v>
      </c>
      <c r="L352" s="6" t="s">
        <v>27</v>
      </c>
      <c r="M352" s="6" t="s">
        <v>27</v>
      </c>
      <c r="N352" s="6" t="s">
        <v>27</v>
      </c>
      <c r="O352" s="6" t="s">
        <v>27</v>
      </c>
      <c r="P352" s="6" t="s">
        <v>27</v>
      </c>
      <c r="Q352" s="6"/>
      <c r="R352" s="33">
        <f t="shared" si="9"/>
        <v>2024</v>
      </c>
      <c r="S352" s="33"/>
    </row>
    <row r="353" spans="1:19" ht="14.5" x14ac:dyDescent="0.35">
      <c r="A353" s="7" t="s">
        <v>1218</v>
      </c>
      <c r="B353" s="7" t="s">
        <v>283</v>
      </c>
      <c r="C353" s="7" t="s">
        <v>61</v>
      </c>
      <c r="D353" s="7" t="s">
        <v>1848</v>
      </c>
      <c r="E353" s="7" t="s">
        <v>1020</v>
      </c>
      <c r="F353" s="8"/>
      <c r="G353" s="60"/>
      <c r="H353" s="6" t="s">
        <v>1475</v>
      </c>
      <c r="I353" s="6" t="s">
        <v>27</v>
      </c>
      <c r="J353" s="6" t="s">
        <v>27</v>
      </c>
      <c r="K353" s="6" t="s">
        <v>27</v>
      </c>
      <c r="L353" s="6" t="s">
        <v>27</v>
      </c>
      <c r="M353" s="6" t="s">
        <v>27</v>
      </c>
      <c r="N353" s="6" t="s">
        <v>27</v>
      </c>
      <c r="O353" s="6" t="s">
        <v>27</v>
      </c>
      <c r="P353" s="6" t="s">
        <v>27</v>
      </c>
      <c r="Q353" s="6"/>
      <c r="R353" s="33">
        <f t="shared" si="9"/>
        <v>2024</v>
      </c>
      <c r="S353" s="33"/>
    </row>
    <row r="354" spans="1:19" ht="14.5" x14ac:dyDescent="0.35">
      <c r="A354" s="7" t="s">
        <v>1229</v>
      </c>
      <c r="B354" s="7" t="s">
        <v>271</v>
      </c>
      <c r="C354" s="7" t="s">
        <v>61</v>
      </c>
      <c r="D354" s="7" t="s">
        <v>1843</v>
      </c>
      <c r="E354" s="7" t="s">
        <v>1575</v>
      </c>
      <c r="F354" s="8"/>
      <c r="G354" s="60"/>
      <c r="H354" s="6" t="s">
        <v>1475</v>
      </c>
      <c r="I354" s="6" t="s">
        <v>27</v>
      </c>
      <c r="J354" s="6" t="s">
        <v>27</v>
      </c>
      <c r="K354" s="6" t="s">
        <v>27</v>
      </c>
      <c r="L354" s="6" t="s">
        <v>27</v>
      </c>
      <c r="M354" s="6" t="s">
        <v>27</v>
      </c>
      <c r="N354" s="6" t="s">
        <v>27</v>
      </c>
      <c r="O354" s="6" t="s">
        <v>27</v>
      </c>
      <c r="P354" s="6" t="s">
        <v>27</v>
      </c>
      <c r="Q354" s="6"/>
      <c r="R354" s="33">
        <f t="shared" si="9"/>
        <v>2024</v>
      </c>
      <c r="S354" s="33"/>
    </row>
    <row r="355" spans="1:19" ht="14.5" x14ac:dyDescent="0.35">
      <c r="A355" s="7" t="s">
        <v>1229</v>
      </c>
      <c r="B355" s="7" t="s">
        <v>271</v>
      </c>
      <c r="C355" s="7" t="s">
        <v>61</v>
      </c>
      <c r="D355" s="7" t="s">
        <v>1497</v>
      </c>
      <c r="E355" s="7" t="s">
        <v>1893</v>
      </c>
      <c r="F355" s="8"/>
      <c r="G355" s="60"/>
      <c r="H355" s="6" t="s">
        <v>1475</v>
      </c>
      <c r="I355" s="6" t="s">
        <v>27</v>
      </c>
      <c r="J355" s="6" t="s">
        <v>27</v>
      </c>
      <c r="K355" s="6" t="s">
        <v>27</v>
      </c>
      <c r="L355" s="6" t="s">
        <v>27</v>
      </c>
      <c r="M355" s="6" t="s">
        <v>27</v>
      </c>
      <c r="N355" s="6" t="s">
        <v>27</v>
      </c>
      <c r="O355" s="6" t="s">
        <v>27</v>
      </c>
      <c r="P355" s="6" t="s">
        <v>27</v>
      </c>
      <c r="Q355" s="6"/>
      <c r="R355" s="33">
        <f t="shared" si="9"/>
        <v>2024</v>
      </c>
      <c r="S355" s="33"/>
    </row>
    <row r="356" spans="1:19" ht="14.5" x14ac:dyDescent="0.35">
      <c r="A356" s="7" t="s">
        <v>1229</v>
      </c>
      <c r="B356" s="7" t="s">
        <v>271</v>
      </c>
      <c r="C356" s="7" t="s">
        <v>61</v>
      </c>
      <c r="D356" s="7" t="s">
        <v>1497</v>
      </c>
      <c r="E356" s="7" t="s">
        <v>1893</v>
      </c>
      <c r="F356" s="8"/>
      <c r="G356" s="60"/>
      <c r="H356" s="6" t="s">
        <v>1475</v>
      </c>
      <c r="I356" s="6" t="s">
        <v>27</v>
      </c>
      <c r="J356" s="6" t="s">
        <v>27</v>
      </c>
      <c r="K356" s="6" t="s">
        <v>27</v>
      </c>
      <c r="L356" s="6" t="s">
        <v>27</v>
      </c>
      <c r="M356" s="6" t="s">
        <v>27</v>
      </c>
      <c r="N356" s="6" t="s">
        <v>27</v>
      </c>
      <c r="O356" s="6" t="s">
        <v>27</v>
      </c>
      <c r="P356" s="6" t="s">
        <v>27</v>
      </c>
      <c r="Q356" s="6"/>
      <c r="R356" s="33">
        <f t="shared" si="9"/>
        <v>2024</v>
      </c>
      <c r="S356" s="33"/>
    </row>
    <row r="357" spans="1:19" ht="14.5" x14ac:dyDescent="0.35">
      <c r="A357" s="7" t="s">
        <v>1894</v>
      </c>
      <c r="B357" s="7" t="s">
        <v>265</v>
      </c>
      <c r="C357" s="7" t="s">
        <v>48</v>
      </c>
      <c r="D357" s="7" t="s">
        <v>1497</v>
      </c>
      <c r="E357" s="7" t="s">
        <v>1818</v>
      </c>
      <c r="F357" s="8"/>
      <c r="G357" s="60"/>
      <c r="H357" s="6" t="s">
        <v>1475</v>
      </c>
      <c r="I357" s="6" t="s">
        <v>27</v>
      </c>
      <c r="J357" s="6" t="s">
        <v>27</v>
      </c>
      <c r="K357" s="6" t="s">
        <v>27</v>
      </c>
      <c r="L357" s="6" t="s">
        <v>27</v>
      </c>
      <c r="M357" s="6" t="s">
        <v>27</v>
      </c>
      <c r="N357" s="6" t="s">
        <v>27</v>
      </c>
      <c r="O357" s="6" t="s">
        <v>27</v>
      </c>
      <c r="P357" s="6" t="s">
        <v>27</v>
      </c>
      <c r="Q357" s="6"/>
      <c r="R357" s="33">
        <f t="shared" si="9"/>
        <v>2024</v>
      </c>
      <c r="S357" s="33"/>
    </row>
    <row r="358" spans="1:19" ht="14.5" x14ac:dyDescent="0.35">
      <c r="A358" s="7" t="s">
        <v>1895</v>
      </c>
      <c r="B358" s="7" t="s">
        <v>1896</v>
      </c>
      <c r="C358" s="7" t="s">
        <v>48</v>
      </c>
      <c r="D358" s="7" t="s">
        <v>1497</v>
      </c>
      <c r="E358" s="7" t="s">
        <v>1818</v>
      </c>
      <c r="F358" s="8"/>
      <c r="G358" s="60"/>
      <c r="H358" s="6" t="s">
        <v>1475</v>
      </c>
      <c r="I358" s="6" t="s">
        <v>27</v>
      </c>
      <c r="J358" s="6" t="s">
        <v>27</v>
      </c>
      <c r="K358" s="6" t="s">
        <v>27</v>
      </c>
      <c r="L358" s="6" t="s">
        <v>27</v>
      </c>
      <c r="M358" s="6" t="s">
        <v>27</v>
      </c>
      <c r="N358" s="6" t="s">
        <v>27</v>
      </c>
      <c r="O358" s="6" t="s">
        <v>27</v>
      </c>
      <c r="P358" s="6" t="s">
        <v>27</v>
      </c>
      <c r="Q358" s="6"/>
      <c r="R358" s="33">
        <f t="shared" si="9"/>
        <v>2024</v>
      </c>
      <c r="S358" s="33"/>
    </row>
    <row r="359" spans="1:19" ht="14.5" x14ac:dyDescent="0.35">
      <c r="A359" s="7" t="s">
        <v>1830</v>
      </c>
      <c r="B359" s="7" t="s">
        <v>314</v>
      </c>
      <c r="C359" s="7" t="s">
        <v>48</v>
      </c>
      <c r="D359" s="7" t="s">
        <v>1497</v>
      </c>
      <c r="E359" s="7" t="s">
        <v>1855</v>
      </c>
      <c r="F359" s="8"/>
      <c r="G359" s="60"/>
      <c r="H359" s="6" t="s">
        <v>1475</v>
      </c>
      <c r="I359" s="6" t="s">
        <v>27</v>
      </c>
      <c r="J359" s="6" t="s">
        <v>27</v>
      </c>
      <c r="K359" s="6" t="s">
        <v>27</v>
      </c>
      <c r="L359" s="6" t="s">
        <v>27</v>
      </c>
      <c r="M359" s="6" t="s">
        <v>27</v>
      </c>
      <c r="N359" s="6" t="s">
        <v>27</v>
      </c>
      <c r="O359" s="6" t="s">
        <v>27</v>
      </c>
      <c r="P359" s="6" t="s">
        <v>27</v>
      </c>
      <c r="Q359" s="6"/>
      <c r="R359" s="33">
        <f t="shared" si="9"/>
        <v>2024</v>
      </c>
      <c r="S359" s="33"/>
    </row>
    <row r="360" spans="1:19" ht="14.5" x14ac:dyDescent="0.35">
      <c r="A360" s="7" t="s">
        <v>1897</v>
      </c>
      <c r="B360" s="7" t="s">
        <v>261</v>
      </c>
      <c r="C360" s="7" t="s">
        <v>48</v>
      </c>
      <c r="D360" s="7" t="s">
        <v>1667</v>
      </c>
      <c r="E360" s="7" t="s">
        <v>1669</v>
      </c>
      <c r="F360" s="8"/>
      <c r="G360" s="60"/>
      <c r="H360" s="6" t="s">
        <v>1475</v>
      </c>
      <c r="I360" s="6" t="s">
        <v>27</v>
      </c>
      <c r="J360" s="6" t="s">
        <v>27</v>
      </c>
      <c r="K360" s="6" t="s">
        <v>27</v>
      </c>
      <c r="L360" s="6" t="s">
        <v>27</v>
      </c>
      <c r="M360" s="6" t="s">
        <v>27</v>
      </c>
      <c r="N360" s="6" t="s">
        <v>27</v>
      </c>
      <c r="O360" s="6" t="s">
        <v>27</v>
      </c>
      <c r="P360" s="6" t="s">
        <v>27</v>
      </c>
      <c r="Q360" s="6"/>
      <c r="R360" s="33">
        <f t="shared" si="9"/>
        <v>2024</v>
      </c>
      <c r="S360" s="33"/>
    </row>
    <row r="361" spans="1:19" ht="14.5" x14ac:dyDescent="0.35">
      <c r="A361" s="7" t="s">
        <v>1898</v>
      </c>
      <c r="B361" s="7" t="s">
        <v>259</v>
      </c>
      <c r="C361" s="7" t="s">
        <v>48</v>
      </c>
      <c r="D361" s="7" t="s">
        <v>1740</v>
      </c>
      <c r="E361" s="7" t="s">
        <v>1814</v>
      </c>
      <c r="F361" s="8"/>
      <c r="G361" s="60"/>
      <c r="H361" s="6" t="s">
        <v>1475</v>
      </c>
      <c r="I361" s="6" t="s">
        <v>27</v>
      </c>
      <c r="J361" s="6" t="s">
        <v>27</v>
      </c>
      <c r="K361" s="6" t="s">
        <v>27</v>
      </c>
      <c r="L361" s="6" t="s">
        <v>27</v>
      </c>
      <c r="M361" s="6" t="s">
        <v>27</v>
      </c>
      <c r="N361" s="6" t="s">
        <v>27</v>
      </c>
      <c r="O361" s="6" t="s">
        <v>27</v>
      </c>
      <c r="P361" s="6" t="s">
        <v>27</v>
      </c>
      <c r="Q361" s="6"/>
      <c r="R361" s="33">
        <f t="shared" si="9"/>
        <v>2024</v>
      </c>
      <c r="S361" s="33"/>
    </row>
    <row r="362" spans="1:19" ht="14.5" x14ac:dyDescent="0.35">
      <c r="A362" s="7" t="s">
        <v>289</v>
      </c>
      <c r="B362" s="7" t="s">
        <v>290</v>
      </c>
      <c r="C362" s="7" t="s">
        <v>42</v>
      </c>
      <c r="D362" s="7" t="s">
        <v>1844</v>
      </c>
      <c r="E362" s="7" t="s">
        <v>1857</v>
      </c>
      <c r="F362" s="8"/>
      <c r="G362" s="60"/>
      <c r="H362" s="6" t="s">
        <v>1475</v>
      </c>
      <c r="I362" s="6" t="s">
        <v>27</v>
      </c>
      <c r="J362" s="6" t="s">
        <v>27</v>
      </c>
      <c r="K362" s="6" t="s">
        <v>27</v>
      </c>
      <c r="L362" s="6" t="s">
        <v>27</v>
      </c>
      <c r="M362" s="6" t="s">
        <v>27</v>
      </c>
      <c r="N362" s="6" t="s">
        <v>27</v>
      </c>
      <c r="O362" s="6" t="s">
        <v>27</v>
      </c>
      <c r="P362" s="6" t="s">
        <v>27</v>
      </c>
      <c r="Q362" s="6"/>
      <c r="R362" s="33">
        <f t="shared" si="9"/>
        <v>2024</v>
      </c>
      <c r="S362" s="33"/>
    </row>
    <row r="363" spans="1:19" ht="14.5" x14ac:dyDescent="0.35">
      <c r="A363" s="7" t="s">
        <v>1898</v>
      </c>
      <c r="B363" s="7" t="s">
        <v>259</v>
      </c>
      <c r="C363" s="7" t="s">
        <v>48</v>
      </c>
      <c r="D363" s="7" t="s">
        <v>1740</v>
      </c>
      <c r="E363" s="7" t="s">
        <v>1814</v>
      </c>
      <c r="F363" s="8"/>
      <c r="G363" s="60"/>
      <c r="H363" s="6" t="s">
        <v>1475</v>
      </c>
      <c r="I363" s="6" t="s">
        <v>27</v>
      </c>
      <c r="J363" s="6" t="s">
        <v>27</v>
      </c>
      <c r="K363" s="6" t="s">
        <v>27</v>
      </c>
      <c r="L363" s="6" t="s">
        <v>27</v>
      </c>
      <c r="M363" s="6" t="s">
        <v>27</v>
      </c>
      <c r="N363" s="6" t="s">
        <v>27</v>
      </c>
      <c r="O363" s="6" t="s">
        <v>27</v>
      </c>
      <c r="P363" s="6" t="s">
        <v>27</v>
      </c>
      <c r="Q363" s="6"/>
      <c r="R363" s="33">
        <f t="shared" si="9"/>
        <v>2024</v>
      </c>
      <c r="S363" s="33"/>
    </row>
    <row r="364" spans="1:19" ht="14.5" x14ac:dyDescent="0.35">
      <c r="A364" s="7" t="s">
        <v>330</v>
      </c>
      <c r="B364" s="7" t="s">
        <v>331</v>
      </c>
      <c r="C364" s="7" t="s">
        <v>48</v>
      </c>
      <c r="D364" s="7" t="s">
        <v>1625</v>
      </c>
      <c r="E364" s="7" t="s">
        <v>1805</v>
      </c>
      <c r="F364" s="8"/>
      <c r="G364" s="60"/>
      <c r="H364" s="6" t="s">
        <v>1475</v>
      </c>
      <c r="I364" s="6" t="s">
        <v>27</v>
      </c>
      <c r="J364" s="6" t="s">
        <v>27</v>
      </c>
      <c r="K364" s="6" t="s">
        <v>27</v>
      </c>
      <c r="L364" s="6" t="s">
        <v>27</v>
      </c>
      <c r="M364" s="6" t="s">
        <v>27</v>
      </c>
      <c r="N364" s="6" t="s">
        <v>27</v>
      </c>
      <c r="O364" s="6" t="s">
        <v>27</v>
      </c>
      <c r="P364" s="6" t="s">
        <v>27</v>
      </c>
      <c r="Q364" s="6"/>
      <c r="R364" s="33">
        <f t="shared" si="9"/>
        <v>2024</v>
      </c>
      <c r="S364" s="33"/>
    </row>
    <row r="365" spans="1:19" ht="14.5" x14ac:dyDescent="0.35">
      <c r="A365" s="7" t="s">
        <v>1858</v>
      </c>
      <c r="B365" s="7" t="s">
        <v>1859</v>
      </c>
      <c r="C365" s="7" t="s">
        <v>1756</v>
      </c>
      <c r="D365" s="7" t="s">
        <v>1591</v>
      </c>
      <c r="E365" s="7" t="s">
        <v>1860</v>
      </c>
      <c r="F365" s="8"/>
      <c r="G365" s="60"/>
      <c r="H365" s="6" t="s">
        <v>749</v>
      </c>
      <c r="I365" s="175"/>
      <c r="J365" s="175"/>
      <c r="K365" s="175"/>
      <c r="L365" s="175"/>
      <c r="M365" s="175"/>
      <c r="N365" s="175"/>
      <c r="O365" s="175"/>
      <c r="P365" s="175"/>
      <c r="Q365" s="6"/>
      <c r="R365" s="33">
        <f t="shared" si="9"/>
        <v>2024</v>
      </c>
      <c r="S365" s="33"/>
    </row>
    <row r="366" spans="1:19" ht="14.5" x14ac:dyDescent="0.35">
      <c r="A366" s="7" t="s">
        <v>1898</v>
      </c>
      <c r="B366" s="7" t="s">
        <v>259</v>
      </c>
      <c r="C366" s="7" t="s">
        <v>48</v>
      </c>
      <c r="D366" s="7" t="s">
        <v>1740</v>
      </c>
      <c r="E366" s="7" t="s">
        <v>1814</v>
      </c>
      <c r="F366" s="8"/>
      <c r="G366" s="60"/>
      <c r="H366" s="6" t="s">
        <v>1475</v>
      </c>
      <c r="I366" s="6" t="s">
        <v>27</v>
      </c>
      <c r="J366" s="6" t="s">
        <v>27</v>
      </c>
      <c r="K366" s="6" t="s">
        <v>27</v>
      </c>
      <c r="L366" s="6" t="s">
        <v>27</v>
      </c>
      <c r="M366" s="6" t="s">
        <v>27</v>
      </c>
      <c r="N366" s="6" t="s">
        <v>27</v>
      </c>
      <c r="O366" s="6" t="s">
        <v>27</v>
      </c>
      <c r="P366" s="6" t="s">
        <v>27</v>
      </c>
      <c r="Q366" s="6"/>
      <c r="R366" s="33">
        <f t="shared" si="9"/>
        <v>2024</v>
      </c>
      <c r="S366" s="33"/>
    </row>
    <row r="367" spans="1:19" ht="14.5" x14ac:dyDescent="0.35">
      <c r="A367" s="7" t="s">
        <v>343</v>
      </c>
      <c r="B367" s="7" t="s">
        <v>344</v>
      </c>
      <c r="C367" s="7" t="s">
        <v>42</v>
      </c>
      <c r="D367" s="7" t="s">
        <v>1689</v>
      </c>
      <c r="E367" s="7" t="s">
        <v>1011</v>
      </c>
      <c r="F367" s="8"/>
      <c r="G367" s="60"/>
      <c r="H367" s="6" t="s">
        <v>1475</v>
      </c>
      <c r="I367" s="6" t="s">
        <v>27</v>
      </c>
      <c r="J367" s="6" t="s">
        <v>27</v>
      </c>
      <c r="K367" s="6" t="s">
        <v>27</v>
      </c>
      <c r="L367" s="6" t="s">
        <v>27</v>
      </c>
      <c r="M367" s="6" t="s">
        <v>27</v>
      </c>
      <c r="N367" s="6" t="s">
        <v>27</v>
      </c>
      <c r="O367" s="6" t="s">
        <v>27</v>
      </c>
      <c r="P367" s="6" t="s">
        <v>27</v>
      </c>
      <c r="Q367" s="6"/>
      <c r="R367" s="33">
        <f t="shared" si="9"/>
        <v>2024</v>
      </c>
      <c r="S367" s="33"/>
    </row>
    <row r="368" spans="1:19" ht="14.5" x14ac:dyDescent="0.35">
      <c r="A368" s="7" t="s">
        <v>1507</v>
      </c>
      <c r="B368" s="7" t="s">
        <v>257</v>
      </c>
      <c r="C368" s="7" t="s">
        <v>48</v>
      </c>
      <c r="D368" s="7" t="s">
        <v>1899</v>
      </c>
      <c r="E368" s="7" t="s">
        <v>1900</v>
      </c>
      <c r="F368" s="8"/>
      <c r="G368" s="60"/>
      <c r="H368" s="6" t="s">
        <v>1475</v>
      </c>
      <c r="I368" s="6" t="s">
        <v>27</v>
      </c>
      <c r="J368" s="6" t="s">
        <v>27</v>
      </c>
      <c r="K368" s="6" t="s">
        <v>27</v>
      </c>
      <c r="L368" s="6" t="s">
        <v>27</v>
      </c>
      <c r="M368" s="6" t="s">
        <v>27</v>
      </c>
      <c r="N368" s="6" t="s">
        <v>27</v>
      </c>
      <c r="O368" s="6" t="s">
        <v>27</v>
      </c>
      <c r="P368" s="6" t="s">
        <v>27</v>
      </c>
      <c r="Q368" s="6"/>
      <c r="R368" s="33">
        <f t="shared" si="9"/>
        <v>2024</v>
      </c>
      <c r="S368" s="33"/>
    </row>
    <row r="369" spans="1:19" ht="14.5" x14ac:dyDescent="0.35">
      <c r="A369" s="7" t="s">
        <v>1195</v>
      </c>
      <c r="B369" s="7" t="s">
        <v>320</v>
      </c>
      <c r="C369" s="7" t="s">
        <v>42</v>
      </c>
      <c r="D369" s="7" t="s">
        <v>1853</v>
      </c>
      <c r="E369" s="7" t="s">
        <v>1854</v>
      </c>
      <c r="F369" s="8"/>
      <c r="G369" s="60"/>
      <c r="H369" s="6" t="s">
        <v>1475</v>
      </c>
      <c r="I369" s="6" t="s">
        <v>27</v>
      </c>
      <c r="J369" s="6" t="s">
        <v>27</v>
      </c>
      <c r="K369" s="6" t="s">
        <v>27</v>
      </c>
      <c r="L369" s="6" t="s">
        <v>27</v>
      </c>
      <c r="M369" s="6" t="s">
        <v>27</v>
      </c>
      <c r="N369" s="6" t="s">
        <v>27</v>
      </c>
      <c r="O369" s="6" t="s">
        <v>27</v>
      </c>
      <c r="P369" s="6" t="s">
        <v>27</v>
      </c>
      <c r="Q369" s="6"/>
      <c r="R369" s="33">
        <f t="shared" si="9"/>
        <v>2024</v>
      </c>
      <c r="S369" s="33"/>
    </row>
    <row r="370" spans="1:19" ht="14.5" x14ac:dyDescent="0.35">
      <c r="A370" s="7" t="s">
        <v>1901</v>
      </c>
      <c r="B370" s="7" t="s">
        <v>255</v>
      </c>
      <c r="C370" s="7" t="s">
        <v>48</v>
      </c>
      <c r="D370" s="7" t="s">
        <v>1667</v>
      </c>
      <c r="E370" s="7" t="s">
        <v>1669</v>
      </c>
      <c r="F370" s="8"/>
      <c r="G370" s="60"/>
      <c r="H370" s="6" t="s">
        <v>1475</v>
      </c>
      <c r="I370" s="6" t="s">
        <v>27</v>
      </c>
      <c r="J370" s="6" t="s">
        <v>27</v>
      </c>
      <c r="K370" s="6" t="s">
        <v>27</v>
      </c>
      <c r="L370" s="6" t="s">
        <v>27</v>
      </c>
      <c r="M370" s="6" t="s">
        <v>27</v>
      </c>
      <c r="N370" s="6" t="s">
        <v>27</v>
      </c>
      <c r="O370" s="6" t="s">
        <v>27</v>
      </c>
      <c r="P370" s="6" t="s">
        <v>27</v>
      </c>
      <c r="Q370" s="6"/>
      <c r="R370" s="33">
        <f t="shared" si="9"/>
        <v>2024</v>
      </c>
      <c r="S370" s="33"/>
    </row>
    <row r="371" spans="1:19" ht="14.5" x14ac:dyDescent="0.35">
      <c r="A371" s="7" t="s">
        <v>1902</v>
      </c>
      <c r="B371" s="7" t="s">
        <v>1903</v>
      </c>
      <c r="C371" s="7" t="s">
        <v>42</v>
      </c>
      <c r="D371" s="7" t="s">
        <v>1497</v>
      </c>
      <c r="E371" s="7" t="s">
        <v>1855</v>
      </c>
      <c r="F371" s="8"/>
      <c r="G371" s="60"/>
      <c r="H371" s="6" t="s">
        <v>1475</v>
      </c>
      <c r="I371" s="6" t="s">
        <v>27</v>
      </c>
      <c r="J371" s="6" t="s">
        <v>27</v>
      </c>
      <c r="K371" s="6" t="s">
        <v>27</v>
      </c>
      <c r="L371" s="6" t="s">
        <v>27</v>
      </c>
      <c r="M371" s="6" t="s">
        <v>27</v>
      </c>
      <c r="N371" s="6" t="s">
        <v>27</v>
      </c>
      <c r="O371" s="6" t="s">
        <v>27</v>
      </c>
      <c r="P371" s="6" t="s">
        <v>27</v>
      </c>
      <c r="Q371" s="6"/>
      <c r="R371" s="33">
        <f t="shared" si="9"/>
        <v>2024</v>
      </c>
      <c r="S371" s="33"/>
    </row>
    <row r="372" spans="1:19" ht="14.5" x14ac:dyDescent="0.35">
      <c r="A372" s="7" t="s">
        <v>1862</v>
      </c>
      <c r="B372" s="7" t="s">
        <v>1863</v>
      </c>
      <c r="C372" s="7" t="s">
        <v>23</v>
      </c>
      <c r="D372" s="7" t="s">
        <v>1864</v>
      </c>
      <c r="E372" s="7" t="s">
        <v>1865</v>
      </c>
      <c r="F372" s="8"/>
      <c r="G372" s="60"/>
      <c r="H372" s="6" t="s">
        <v>1475</v>
      </c>
      <c r="I372" s="6" t="s">
        <v>27</v>
      </c>
      <c r="J372" s="6" t="s">
        <v>27</v>
      </c>
      <c r="K372" s="6" t="s">
        <v>27</v>
      </c>
      <c r="L372" s="6" t="s">
        <v>27</v>
      </c>
      <c r="M372" s="6" t="s">
        <v>27</v>
      </c>
      <c r="N372" s="6" t="s">
        <v>27</v>
      </c>
      <c r="O372" s="6" t="s">
        <v>27</v>
      </c>
      <c r="P372" s="6" t="s">
        <v>27</v>
      </c>
      <c r="Q372" s="6"/>
      <c r="R372" s="33">
        <f t="shared" si="9"/>
        <v>2024</v>
      </c>
      <c r="S372" s="36"/>
    </row>
    <row r="373" spans="1:19" ht="14.5" x14ac:dyDescent="0.35">
      <c r="A373" s="7" t="s">
        <v>289</v>
      </c>
      <c r="B373" s="7" t="s">
        <v>290</v>
      </c>
      <c r="C373" s="7" t="s">
        <v>42</v>
      </c>
      <c r="D373" s="7" t="s">
        <v>1844</v>
      </c>
      <c r="E373" s="7" t="s">
        <v>1857</v>
      </c>
      <c r="F373" s="8"/>
      <c r="G373" s="60"/>
      <c r="H373" s="6" t="s">
        <v>1475</v>
      </c>
      <c r="I373" s="6" t="s">
        <v>27</v>
      </c>
      <c r="J373" s="6" t="s">
        <v>27</v>
      </c>
      <c r="K373" s="6" t="s">
        <v>27</v>
      </c>
      <c r="L373" s="6" t="s">
        <v>27</v>
      </c>
      <c r="M373" s="6" t="s">
        <v>27</v>
      </c>
      <c r="N373" s="6" t="s">
        <v>27</v>
      </c>
      <c r="O373" s="6" t="s">
        <v>27</v>
      </c>
      <c r="P373" s="6" t="s">
        <v>27</v>
      </c>
      <c r="Q373" s="6"/>
      <c r="R373" s="33">
        <f t="shared" si="9"/>
        <v>2024</v>
      </c>
      <c r="S373" s="33"/>
    </row>
    <row r="374" spans="1:19" ht="14.5" x14ac:dyDescent="0.35">
      <c r="A374" s="7" t="s">
        <v>251</v>
      </c>
      <c r="B374" s="7" t="s">
        <v>252</v>
      </c>
      <c r="C374" s="7" t="s">
        <v>1866</v>
      </c>
      <c r="D374" s="7" t="s">
        <v>1689</v>
      </c>
      <c r="E374" s="7" t="s">
        <v>1011</v>
      </c>
      <c r="F374" s="8"/>
      <c r="G374" s="60"/>
      <c r="H374" s="6" t="s">
        <v>1475</v>
      </c>
      <c r="I374" s="6" t="s">
        <v>27</v>
      </c>
      <c r="J374" s="6" t="s">
        <v>27</v>
      </c>
      <c r="K374" s="6" t="s">
        <v>27</v>
      </c>
      <c r="L374" s="6" t="s">
        <v>27</v>
      </c>
      <c r="M374" s="6" t="s">
        <v>27</v>
      </c>
      <c r="N374" s="6" t="s">
        <v>27</v>
      </c>
      <c r="O374" s="6" t="s">
        <v>27</v>
      </c>
      <c r="P374" s="6" t="s">
        <v>27</v>
      </c>
      <c r="Q374" s="6"/>
      <c r="R374" s="33">
        <f t="shared" si="9"/>
        <v>2024</v>
      </c>
      <c r="S374" s="33"/>
    </row>
    <row r="375" spans="1:19" ht="14.5" x14ac:dyDescent="0.35">
      <c r="A375" s="7" t="s">
        <v>1840</v>
      </c>
      <c r="B375" s="7" t="s">
        <v>333</v>
      </c>
      <c r="C375" s="7" t="s">
        <v>48</v>
      </c>
      <c r="D375" s="7" t="s">
        <v>1867</v>
      </c>
      <c r="E375" s="7" t="s">
        <v>1868</v>
      </c>
      <c r="F375" s="8"/>
      <c r="G375" s="60"/>
      <c r="H375" s="6" t="s">
        <v>1475</v>
      </c>
      <c r="I375" s="6" t="s">
        <v>27</v>
      </c>
      <c r="J375" s="6" t="s">
        <v>27</v>
      </c>
      <c r="K375" s="6" t="s">
        <v>27</v>
      </c>
      <c r="L375" s="6" t="s">
        <v>27</v>
      </c>
      <c r="M375" s="6" t="s">
        <v>27</v>
      </c>
      <c r="N375" s="6" t="s">
        <v>27</v>
      </c>
      <c r="O375" s="6" t="s">
        <v>27</v>
      </c>
      <c r="P375" s="6" t="s">
        <v>27</v>
      </c>
      <c r="Q375" s="6"/>
      <c r="R375" s="33">
        <f t="shared" si="9"/>
        <v>2024</v>
      </c>
      <c r="S375" s="33"/>
    </row>
    <row r="376" spans="1:19" ht="14.5" x14ac:dyDescent="0.35">
      <c r="A376" s="7" t="s">
        <v>1840</v>
      </c>
      <c r="B376" s="7" t="s">
        <v>333</v>
      </c>
      <c r="C376" s="7" t="s">
        <v>48</v>
      </c>
      <c r="D376" s="7" t="s">
        <v>1606</v>
      </c>
      <c r="E376" s="7" t="s">
        <v>1869</v>
      </c>
      <c r="F376" s="8"/>
      <c r="G376" s="60"/>
      <c r="H376" s="6" t="s">
        <v>1475</v>
      </c>
      <c r="I376" s="6" t="s">
        <v>27</v>
      </c>
      <c r="J376" s="6" t="s">
        <v>27</v>
      </c>
      <c r="K376" s="6" t="s">
        <v>27</v>
      </c>
      <c r="L376" s="6" t="s">
        <v>27</v>
      </c>
      <c r="M376" s="6" t="s">
        <v>27</v>
      </c>
      <c r="N376" s="6" t="s">
        <v>27</v>
      </c>
      <c r="O376" s="6" t="s">
        <v>27</v>
      </c>
      <c r="P376" s="6" t="s">
        <v>27</v>
      </c>
      <c r="Q376" s="6"/>
      <c r="R376" s="33">
        <f t="shared" si="9"/>
        <v>2024</v>
      </c>
      <c r="S376" s="33"/>
    </row>
    <row r="377" spans="1:19" ht="14.5" x14ac:dyDescent="0.35">
      <c r="A377" s="7" t="s">
        <v>1840</v>
      </c>
      <c r="B377" s="7" t="s">
        <v>333</v>
      </c>
      <c r="C377" s="7" t="s">
        <v>48</v>
      </c>
      <c r="D377" s="7" t="s">
        <v>1806</v>
      </c>
      <c r="E377" s="7" t="s">
        <v>1011</v>
      </c>
      <c r="F377" s="8"/>
      <c r="G377" s="60"/>
      <c r="H377" s="6" t="s">
        <v>1475</v>
      </c>
      <c r="I377" s="6" t="s">
        <v>27</v>
      </c>
      <c r="J377" s="6" t="s">
        <v>27</v>
      </c>
      <c r="K377" s="6" t="s">
        <v>27</v>
      </c>
      <c r="L377" s="6" t="s">
        <v>27</v>
      </c>
      <c r="M377" s="6" t="s">
        <v>27</v>
      </c>
      <c r="N377" s="6" t="s">
        <v>27</v>
      </c>
      <c r="O377" s="6" t="s">
        <v>27</v>
      </c>
      <c r="P377" s="6" t="s">
        <v>27</v>
      </c>
      <c r="Q377" s="6"/>
      <c r="R377" s="33">
        <f t="shared" si="9"/>
        <v>2024</v>
      </c>
      <c r="S377" s="33"/>
    </row>
    <row r="378" spans="1:19" ht="14.5" x14ac:dyDescent="0.35">
      <c r="A378" s="7" t="s">
        <v>1840</v>
      </c>
      <c r="B378" s="7" t="s">
        <v>333</v>
      </c>
      <c r="C378" s="7" t="s">
        <v>48</v>
      </c>
      <c r="D378" s="7" t="s">
        <v>1870</v>
      </c>
      <c r="E378" s="7" t="s">
        <v>1871</v>
      </c>
      <c r="F378" s="8"/>
      <c r="G378" s="60"/>
      <c r="H378" s="6" t="s">
        <v>1475</v>
      </c>
      <c r="I378" s="6" t="s">
        <v>27</v>
      </c>
      <c r="J378" s="6" t="s">
        <v>27</v>
      </c>
      <c r="K378" s="6" t="s">
        <v>27</v>
      </c>
      <c r="L378" s="6" t="s">
        <v>27</v>
      </c>
      <c r="M378" s="6" t="s">
        <v>27</v>
      </c>
      <c r="N378" s="6" t="s">
        <v>27</v>
      </c>
      <c r="O378" s="6" t="s">
        <v>27</v>
      </c>
      <c r="P378" s="6" t="s">
        <v>27</v>
      </c>
      <c r="Q378" s="6"/>
      <c r="R378" s="33">
        <f t="shared" si="9"/>
        <v>2024</v>
      </c>
      <c r="S378" s="33"/>
    </row>
    <row r="379" spans="1:19" ht="14.5" x14ac:dyDescent="0.35">
      <c r="A379" s="7" t="s">
        <v>1840</v>
      </c>
      <c r="B379" s="7" t="s">
        <v>333</v>
      </c>
      <c r="C379" s="7" t="s">
        <v>48</v>
      </c>
      <c r="D379" s="7" t="s">
        <v>1833</v>
      </c>
      <c r="E379" s="7" t="s">
        <v>1834</v>
      </c>
      <c r="F379" s="8"/>
      <c r="G379" s="60"/>
      <c r="H379" s="6" t="s">
        <v>749</v>
      </c>
      <c r="I379" s="175"/>
      <c r="J379" s="175"/>
      <c r="K379" s="175"/>
      <c r="L379" s="175"/>
      <c r="M379" s="175"/>
      <c r="N379" s="175"/>
      <c r="O379" s="175"/>
      <c r="P379" s="175"/>
      <c r="Q379" s="6"/>
      <c r="R379" s="33">
        <f t="shared" si="9"/>
        <v>2024</v>
      </c>
      <c r="S379" s="33"/>
    </row>
    <row r="380" spans="1:19" ht="14.5" x14ac:dyDescent="0.35">
      <c r="A380" s="7" t="s">
        <v>1840</v>
      </c>
      <c r="B380" s="7" t="s">
        <v>333</v>
      </c>
      <c r="C380" s="7" t="s">
        <v>48</v>
      </c>
      <c r="D380" s="7" t="s">
        <v>1697</v>
      </c>
      <c r="E380" s="7" t="s">
        <v>1187</v>
      </c>
      <c r="F380" s="8"/>
      <c r="G380" s="60"/>
      <c r="H380" s="6" t="s">
        <v>1475</v>
      </c>
      <c r="I380" s="6" t="s">
        <v>27</v>
      </c>
      <c r="J380" s="6" t="s">
        <v>27</v>
      </c>
      <c r="K380" s="6" t="s">
        <v>27</v>
      </c>
      <c r="L380" s="6" t="s">
        <v>27</v>
      </c>
      <c r="M380" s="6" t="s">
        <v>27</v>
      </c>
      <c r="N380" s="6" t="s">
        <v>27</v>
      </c>
      <c r="O380" s="6" t="s">
        <v>27</v>
      </c>
      <c r="P380" s="6" t="s">
        <v>27</v>
      </c>
      <c r="Q380" s="6"/>
      <c r="R380" s="33">
        <f t="shared" si="9"/>
        <v>2024</v>
      </c>
      <c r="S380" s="33"/>
    </row>
    <row r="381" spans="1:19" ht="14.5" x14ac:dyDescent="0.35">
      <c r="A381" s="7" t="s">
        <v>1840</v>
      </c>
      <c r="B381" s="7" t="s">
        <v>333</v>
      </c>
      <c r="C381" s="7" t="s">
        <v>48</v>
      </c>
      <c r="D381" s="7" t="s">
        <v>1798</v>
      </c>
      <c r="E381" s="7" t="s">
        <v>1722</v>
      </c>
      <c r="F381" s="8"/>
      <c r="G381" s="60"/>
      <c r="H381" s="6" t="s">
        <v>1475</v>
      </c>
      <c r="I381" s="6" t="s">
        <v>27</v>
      </c>
      <c r="J381" s="6" t="s">
        <v>27</v>
      </c>
      <c r="K381" s="6" t="s">
        <v>27</v>
      </c>
      <c r="L381" s="6" t="s">
        <v>27</v>
      </c>
      <c r="M381" s="6" t="s">
        <v>27</v>
      </c>
      <c r="N381" s="6" t="s">
        <v>27</v>
      </c>
      <c r="O381" s="6" t="s">
        <v>27</v>
      </c>
      <c r="P381" s="6" t="s">
        <v>27</v>
      </c>
      <c r="Q381" s="6"/>
      <c r="R381" s="33">
        <f t="shared" si="9"/>
        <v>2024</v>
      </c>
      <c r="S381" s="33"/>
    </row>
    <row r="382" spans="1:19" ht="14.5" x14ac:dyDescent="0.35">
      <c r="A382" s="7" t="s">
        <v>1840</v>
      </c>
      <c r="B382" s="7" t="s">
        <v>333</v>
      </c>
      <c r="C382" s="7" t="s">
        <v>48</v>
      </c>
      <c r="D382" s="7" t="s">
        <v>1872</v>
      </c>
      <c r="E382" s="7" t="s">
        <v>1873</v>
      </c>
      <c r="F382" s="8"/>
      <c r="G382" s="60"/>
      <c r="H382" s="6" t="s">
        <v>1475</v>
      </c>
      <c r="I382" s="6" t="s">
        <v>27</v>
      </c>
      <c r="J382" s="6" t="s">
        <v>27</v>
      </c>
      <c r="K382" s="6" t="s">
        <v>27</v>
      </c>
      <c r="L382" s="6" t="s">
        <v>27</v>
      </c>
      <c r="M382" s="6" t="s">
        <v>27</v>
      </c>
      <c r="N382" s="6" t="s">
        <v>27</v>
      </c>
      <c r="O382" s="6" t="s">
        <v>27</v>
      </c>
      <c r="P382" s="6" t="s">
        <v>27</v>
      </c>
      <c r="Q382" s="6"/>
      <c r="R382" s="33">
        <f t="shared" si="9"/>
        <v>2024</v>
      </c>
      <c r="S382" s="33"/>
    </row>
    <row r="383" spans="1:19" ht="14.5" x14ac:dyDescent="0.35">
      <c r="A383" s="7" t="s">
        <v>1830</v>
      </c>
      <c r="B383" s="7" t="s">
        <v>314</v>
      </c>
      <c r="C383" s="7" t="s">
        <v>48</v>
      </c>
      <c r="D383" s="7" t="s">
        <v>1798</v>
      </c>
      <c r="E383" s="7" t="s">
        <v>1722</v>
      </c>
      <c r="F383" s="8"/>
      <c r="G383" s="60"/>
      <c r="H383" s="6" t="s">
        <v>1475</v>
      </c>
      <c r="I383" s="6" t="s">
        <v>27</v>
      </c>
      <c r="J383" s="6" t="s">
        <v>27</v>
      </c>
      <c r="K383" s="6" t="s">
        <v>27</v>
      </c>
      <c r="L383" s="6" t="s">
        <v>27</v>
      </c>
      <c r="M383" s="6" t="s">
        <v>27</v>
      </c>
      <c r="N383" s="6" t="s">
        <v>27</v>
      </c>
      <c r="O383" s="6" t="s">
        <v>27</v>
      </c>
      <c r="P383" s="6" t="s">
        <v>27</v>
      </c>
      <c r="Q383" s="6"/>
      <c r="R383" s="33">
        <f t="shared" si="9"/>
        <v>2024</v>
      </c>
      <c r="S383" s="33"/>
    </row>
    <row r="384" spans="1:19" ht="14.5" x14ac:dyDescent="0.35">
      <c r="A384" s="7" t="s">
        <v>343</v>
      </c>
      <c r="B384" s="7" t="s">
        <v>344</v>
      </c>
      <c r="C384" s="7" t="s">
        <v>42</v>
      </c>
      <c r="D384" s="7" t="s">
        <v>1501</v>
      </c>
      <c r="E384" s="7" t="s">
        <v>1696</v>
      </c>
      <c r="F384" s="8"/>
      <c r="G384" s="60"/>
      <c r="H384" s="6" t="s">
        <v>1475</v>
      </c>
      <c r="I384" s="6" t="s">
        <v>27</v>
      </c>
      <c r="J384" s="6" t="s">
        <v>27</v>
      </c>
      <c r="K384" s="6" t="s">
        <v>27</v>
      </c>
      <c r="L384" s="6" t="s">
        <v>27</v>
      </c>
      <c r="M384" s="6" t="s">
        <v>27</v>
      </c>
      <c r="N384" s="6" t="s">
        <v>27</v>
      </c>
      <c r="O384" s="6" t="s">
        <v>27</v>
      </c>
      <c r="P384" s="6" t="s">
        <v>27</v>
      </c>
      <c r="Q384" s="6"/>
      <c r="R384" s="33">
        <f t="shared" si="9"/>
        <v>2024</v>
      </c>
      <c r="S384" s="33"/>
    </row>
    <row r="385" spans="1:19" ht="14.5" x14ac:dyDescent="0.35">
      <c r="A385" s="7" t="s">
        <v>392</v>
      </c>
      <c r="B385" s="7" t="s">
        <v>1153</v>
      </c>
      <c r="C385" s="7" t="s">
        <v>42</v>
      </c>
      <c r="D385" s="7" t="s">
        <v>1684</v>
      </c>
      <c r="E385" s="7" t="s">
        <v>1113</v>
      </c>
      <c r="F385" s="8"/>
      <c r="G385" s="60"/>
      <c r="H385" s="6" t="s">
        <v>1475</v>
      </c>
      <c r="I385" s="6" t="s">
        <v>27</v>
      </c>
      <c r="J385" s="6" t="s">
        <v>27</v>
      </c>
      <c r="K385" s="6" t="s">
        <v>27</v>
      </c>
      <c r="L385" s="6" t="s">
        <v>27</v>
      </c>
      <c r="M385" s="6" t="s">
        <v>27</v>
      </c>
      <c r="N385" s="6" t="s">
        <v>27</v>
      </c>
      <c r="O385" s="6" t="s">
        <v>27</v>
      </c>
      <c r="P385" s="6" t="s">
        <v>27</v>
      </c>
      <c r="Q385" s="6"/>
      <c r="R385" s="33">
        <f t="shared" ref="R385:R424" si="10">IFERROR(2000+VALUE(LEFT(A385,2)),"")</f>
        <v>2024</v>
      </c>
      <c r="S385" s="33"/>
    </row>
    <row r="386" spans="1:19" ht="14.5" x14ac:dyDescent="0.35">
      <c r="A386" s="7" t="s">
        <v>1830</v>
      </c>
      <c r="B386" s="7" t="s">
        <v>314</v>
      </c>
      <c r="C386" s="7" t="s">
        <v>48</v>
      </c>
      <c r="D386" s="7" t="s">
        <v>1874</v>
      </c>
      <c r="E386" s="7" t="s">
        <v>1763</v>
      </c>
      <c r="F386" s="8"/>
      <c r="G386" s="60"/>
      <c r="H386" s="6" t="s">
        <v>1475</v>
      </c>
      <c r="I386" s="6" t="s">
        <v>27</v>
      </c>
      <c r="J386" s="6" t="s">
        <v>27</v>
      </c>
      <c r="K386" s="6" t="s">
        <v>27</v>
      </c>
      <c r="L386" s="6" t="s">
        <v>27</v>
      </c>
      <c r="M386" s="6" t="s">
        <v>27</v>
      </c>
      <c r="N386" s="6" t="s">
        <v>27</v>
      </c>
      <c r="O386" s="6" t="s">
        <v>27</v>
      </c>
      <c r="P386" s="6" t="s">
        <v>27</v>
      </c>
      <c r="Q386" s="6"/>
      <c r="R386" s="33">
        <f t="shared" si="10"/>
        <v>2024</v>
      </c>
      <c r="S386" s="33"/>
    </row>
    <row r="387" spans="1:19" ht="14.5" x14ac:dyDescent="0.35">
      <c r="A387" s="7" t="s">
        <v>1830</v>
      </c>
      <c r="B387" s="7" t="s">
        <v>314</v>
      </c>
      <c r="C387" s="7" t="s">
        <v>48</v>
      </c>
      <c r="D387" s="7" t="s">
        <v>1872</v>
      </c>
      <c r="E387" s="7" t="s">
        <v>1873</v>
      </c>
      <c r="F387" s="8"/>
      <c r="G387" s="60"/>
      <c r="H387" s="6" t="s">
        <v>1475</v>
      </c>
      <c r="I387" s="6" t="s">
        <v>27</v>
      </c>
      <c r="J387" s="6" t="s">
        <v>27</v>
      </c>
      <c r="K387" s="6" t="s">
        <v>27</v>
      </c>
      <c r="L387" s="6" t="s">
        <v>27</v>
      </c>
      <c r="M387" s="6" t="s">
        <v>27</v>
      </c>
      <c r="N387" s="6" t="s">
        <v>27</v>
      </c>
      <c r="O387" s="6" t="s">
        <v>27</v>
      </c>
      <c r="P387" s="6" t="s">
        <v>27</v>
      </c>
      <c r="Q387" s="6"/>
      <c r="R387" s="33">
        <f t="shared" si="10"/>
        <v>2024</v>
      </c>
      <c r="S387" s="33"/>
    </row>
    <row r="388" spans="1:19" ht="14.5" x14ac:dyDescent="0.35">
      <c r="A388" s="7" t="s">
        <v>1830</v>
      </c>
      <c r="B388" s="7" t="s">
        <v>314</v>
      </c>
      <c r="C388" s="7" t="s">
        <v>48</v>
      </c>
      <c r="D388" s="7" t="s">
        <v>1497</v>
      </c>
      <c r="E388" s="7" t="s">
        <v>1875</v>
      </c>
      <c r="F388" s="8"/>
      <c r="G388" s="60"/>
      <c r="H388" s="6" t="s">
        <v>1475</v>
      </c>
      <c r="I388" s="6" t="s">
        <v>27</v>
      </c>
      <c r="J388" s="6" t="s">
        <v>27</v>
      </c>
      <c r="K388" s="6" t="s">
        <v>27</v>
      </c>
      <c r="L388" s="6" t="s">
        <v>27</v>
      </c>
      <c r="M388" s="6" t="s">
        <v>27</v>
      </c>
      <c r="N388" s="6" t="s">
        <v>27</v>
      </c>
      <c r="O388" s="6" t="s">
        <v>27</v>
      </c>
      <c r="P388" s="6" t="s">
        <v>27</v>
      </c>
      <c r="Q388" s="6"/>
      <c r="R388" s="33">
        <f t="shared" si="10"/>
        <v>2024</v>
      </c>
      <c r="S388" s="33"/>
    </row>
    <row r="389" spans="1:19" ht="14.5" x14ac:dyDescent="0.35">
      <c r="A389" s="7" t="s">
        <v>1840</v>
      </c>
      <c r="B389" s="7" t="s">
        <v>333</v>
      </c>
      <c r="C389" s="7" t="s">
        <v>48</v>
      </c>
      <c r="D389" s="7" t="s">
        <v>1876</v>
      </c>
      <c r="E389" s="7" t="s">
        <v>1834</v>
      </c>
      <c r="F389" s="8"/>
      <c r="G389" s="60"/>
      <c r="H389" s="6" t="s">
        <v>1475</v>
      </c>
      <c r="I389" s="6" t="s">
        <v>27</v>
      </c>
      <c r="J389" s="6" t="s">
        <v>27</v>
      </c>
      <c r="K389" s="6" t="s">
        <v>27</v>
      </c>
      <c r="L389" s="6" t="s">
        <v>27</v>
      </c>
      <c r="M389" s="6" t="s">
        <v>27</v>
      </c>
      <c r="N389" s="6" t="s">
        <v>27</v>
      </c>
      <c r="O389" s="6" t="s">
        <v>27</v>
      </c>
      <c r="P389" s="6" t="s">
        <v>27</v>
      </c>
      <c r="Q389" s="6"/>
      <c r="R389" s="33">
        <f t="shared" si="10"/>
        <v>2024</v>
      </c>
      <c r="S389" s="33"/>
    </row>
    <row r="390" spans="1:19" ht="14.5" x14ac:dyDescent="0.35">
      <c r="A390" s="7" t="s">
        <v>1830</v>
      </c>
      <c r="B390" s="7" t="s">
        <v>314</v>
      </c>
      <c r="C390" s="7" t="s">
        <v>48</v>
      </c>
      <c r="D390" s="7" t="s">
        <v>1877</v>
      </c>
      <c r="E390" s="7" t="s">
        <v>1878</v>
      </c>
      <c r="F390" s="8"/>
      <c r="G390" s="60"/>
      <c r="H390" s="6" t="s">
        <v>1475</v>
      </c>
      <c r="I390" s="6" t="s">
        <v>27</v>
      </c>
      <c r="J390" s="6" t="s">
        <v>27</v>
      </c>
      <c r="K390" s="6" t="s">
        <v>27</v>
      </c>
      <c r="L390" s="6" t="s">
        <v>27</v>
      </c>
      <c r="M390" s="6" t="s">
        <v>27</v>
      </c>
      <c r="N390" s="6" t="s">
        <v>27</v>
      </c>
      <c r="O390" s="6" t="s">
        <v>27</v>
      </c>
      <c r="P390" s="6" t="s">
        <v>27</v>
      </c>
      <c r="Q390" s="6"/>
      <c r="R390" s="33">
        <f t="shared" si="10"/>
        <v>2024</v>
      </c>
      <c r="S390" s="33"/>
    </row>
    <row r="391" spans="1:19" ht="14.5" x14ac:dyDescent="0.35">
      <c r="A391" s="7" t="s">
        <v>1797</v>
      </c>
      <c r="B391" s="7" t="s">
        <v>340</v>
      </c>
      <c r="C391" s="7" t="s">
        <v>48</v>
      </c>
      <c r="D391" s="7" t="s">
        <v>1879</v>
      </c>
      <c r="E391" s="7" t="s">
        <v>1880</v>
      </c>
      <c r="F391" s="8"/>
      <c r="G391" s="60"/>
      <c r="H391" s="6" t="s">
        <v>1475</v>
      </c>
      <c r="I391" s="6" t="s">
        <v>27</v>
      </c>
      <c r="J391" s="6" t="s">
        <v>27</v>
      </c>
      <c r="K391" s="6" t="s">
        <v>27</v>
      </c>
      <c r="L391" s="6" t="s">
        <v>27</v>
      </c>
      <c r="M391" s="6" t="s">
        <v>27</v>
      </c>
      <c r="N391" s="6" t="s">
        <v>27</v>
      </c>
      <c r="O391" s="6" t="s">
        <v>27</v>
      </c>
      <c r="P391" s="6" t="s">
        <v>27</v>
      </c>
      <c r="Q391" s="6"/>
      <c r="R391" s="33">
        <f t="shared" si="10"/>
        <v>2024</v>
      </c>
      <c r="S391" s="33"/>
    </row>
    <row r="392" spans="1:19" ht="14.5" x14ac:dyDescent="0.35">
      <c r="A392" s="7" t="s">
        <v>1825</v>
      </c>
      <c r="B392" s="7" t="s">
        <v>326</v>
      </c>
      <c r="C392" s="7" t="s">
        <v>1756</v>
      </c>
      <c r="D392" s="7" t="s">
        <v>1881</v>
      </c>
      <c r="E392" s="7" t="s">
        <v>1775</v>
      </c>
      <c r="F392" s="8"/>
      <c r="G392" s="60"/>
      <c r="H392" s="6" t="s">
        <v>1475</v>
      </c>
      <c r="I392" s="6" t="s">
        <v>27</v>
      </c>
      <c r="J392" s="6" t="s">
        <v>27</v>
      </c>
      <c r="K392" s="6" t="s">
        <v>27</v>
      </c>
      <c r="L392" s="6" t="s">
        <v>27</v>
      </c>
      <c r="M392" s="6" t="s">
        <v>27</v>
      </c>
      <c r="N392" s="6" t="s">
        <v>27</v>
      </c>
      <c r="O392" s="6" t="s">
        <v>27</v>
      </c>
      <c r="P392" s="6" t="s">
        <v>27</v>
      </c>
      <c r="Q392" s="6"/>
      <c r="R392" s="33">
        <f t="shared" si="10"/>
        <v>2024</v>
      </c>
      <c r="S392" s="33"/>
    </row>
    <row r="393" spans="1:19" ht="14.5" x14ac:dyDescent="0.35">
      <c r="A393" s="7" t="s">
        <v>1830</v>
      </c>
      <c r="B393" s="7" t="s">
        <v>314</v>
      </c>
      <c r="C393" s="7" t="s">
        <v>48</v>
      </c>
      <c r="D393" s="7" t="s">
        <v>1882</v>
      </c>
      <c r="E393" s="7" t="s">
        <v>1883</v>
      </c>
      <c r="F393" s="8"/>
      <c r="G393" s="60"/>
      <c r="H393" s="6" t="s">
        <v>749</v>
      </c>
      <c r="I393" s="175"/>
      <c r="J393" s="175"/>
      <c r="K393" s="175"/>
      <c r="L393" s="175"/>
      <c r="M393" s="175"/>
      <c r="N393" s="175"/>
      <c r="O393" s="175"/>
      <c r="P393" s="175"/>
      <c r="Q393" s="6"/>
      <c r="R393" s="33">
        <f t="shared" si="10"/>
        <v>2024</v>
      </c>
      <c r="S393" s="33"/>
    </row>
    <row r="394" spans="1:19" ht="14.5" x14ac:dyDescent="0.35">
      <c r="A394" s="7" t="s">
        <v>1840</v>
      </c>
      <c r="B394" s="7" t="s">
        <v>333</v>
      </c>
      <c r="C394" s="7" t="s">
        <v>48</v>
      </c>
      <c r="D394" s="7" t="s">
        <v>1884</v>
      </c>
      <c r="E394" s="7" t="s">
        <v>1885</v>
      </c>
      <c r="F394" s="8"/>
      <c r="G394" s="60"/>
      <c r="H394" s="6" t="s">
        <v>1475</v>
      </c>
      <c r="I394" s="6" t="s">
        <v>27</v>
      </c>
      <c r="J394" s="6" t="s">
        <v>27</v>
      </c>
      <c r="K394" s="6" t="s">
        <v>27</v>
      </c>
      <c r="L394" s="6" t="s">
        <v>27</v>
      </c>
      <c r="M394" s="6" t="s">
        <v>27</v>
      </c>
      <c r="N394" s="6" t="s">
        <v>27</v>
      </c>
      <c r="O394" s="6" t="s">
        <v>27</v>
      </c>
      <c r="P394" s="6" t="s">
        <v>27</v>
      </c>
      <c r="Q394" s="6"/>
      <c r="R394" s="33">
        <f t="shared" si="10"/>
        <v>2024</v>
      </c>
      <c r="S394" s="33"/>
    </row>
    <row r="395" spans="1:19" ht="14.5" x14ac:dyDescent="0.35">
      <c r="A395" s="7" t="s">
        <v>1830</v>
      </c>
      <c r="B395" s="7" t="s">
        <v>314</v>
      </c>
      <c r="C395" s="7" t="s">
        <v>48</v>
      </c>
      <c r="D395" s="7" t="s">
        <v>1886</v>
      </c>
      <c r="E395" s="7" t="s">
        <v>1887</v>
      </c>
      <c r="F395" s="8"/>
      <c r="G395" s="60"/>
      <c r="H395" s="6" t="s">
        <v>1475</v>
      </c>
      <c r="I395" s="6" t="s">
        <v>27</v>
      </c>
      <c r="J395" s="6" t="s">
        <v>27</v>
      </c>
      <c r="K395" s="6" t="s">
        <v>27</v>
      </c>
      <c r="L395" s="6" t="s">
        <v>27</v>
      </c>
      <c r="M395" s="6" t="s">
        <v>27</v>
      </c>
      <c r="N395" s="6" t="s">
        <v>27</v>
      </c>
      <c r="O395" s="6" t="s">
        <v>27</v>
      </c>
      <c r="P395" s="6" t="s">
        <v>27</v>
      </c>
      <c r="Q395" s="6"/>
      <c r="R395" s="33">
        <f t="shared" si="10"/>
        <v>2024</v>
      </c>
      <c r="S395" s="33"/>
    </row>
    <row r="396" spans="1:19" ht="14.5" x14ac:dyDescent="0.35">
      <c r="A396" s="7" t="s">
        <v>1830</v>
      </c>
      <c r="B396" s="7" t="s">
        <v>314</v>
      </c>
      <c r="C396" s="7" t="s">
        <v>48</v>
      </c>
      <c r="D396" s="7" t="s">
        <v>1490</v>
      </c>
      <c r="E396" s="7" t="s">
        <v>1888</v>
      </c>
      <c r="F396" s="8"/>
      <c r="G396" s="60"/>
      <c r="H396" s="6" t="s">
        <v>1475</v>
      </c>
      <c r="I396" s="6" t="s">
        <v>27</v>
      </c>
      <c r="J396" s="6" t="s">
        <v>27</v>
      </c>
      <c r="K396" s="6" t="s">
        <v>27</v>
      </c>
      <c r="L396" s="6" t="s">
        <v>27</v>
      </c>
      <c r="M396" s="6" t="s">
        <v>27</v>
      </c>
      <c r="N396" s="6" t="s">
        <v>27</v>
      </c>
      <c r="O396" s="6" t="s">
        <v>27</v>
      </c>
      <c r="P396" s="6" t="s">
        <v>27</v>
      </c>
      <c r="Q396" s="6"/>
      <c r="R396" s="33">
        <f t="shared" si="10"/>
        <v>2024</v>
      </c>
      <c r="S396" s="33"/>
    </row>
    <row r="397" spans="1:19" ht="14.5" x14ac:dyDescent="0.35">
      <c r="A397" s="7" t="s">
        <v>1830</v>
      </c>
      <c r="B397" s="7" t="s">
        <v>314</v>
      </c>
      <c r="C397" s="7" t="s">
        <v>48</v>
      </c>
      <c r="D397" s="7" t="s">
        <v>1881</v>
      </c>
      <c r="E397" s="7" t="s">
        <v>1883</v>
      </c>
      <c r="F397" s="8"/>
      <c r="G397" s="60"/>
      <c r="H397" s="6" t="s">
        <v>1475</v>
      </c>
      <c r="I397" s="6" t="s">
        <v>27</v>
      </c>
      <c r="J397" s="6" t="s">
        <v>27</v>
      </c>
      <c r="K397" s="6" t="s">
        <v>27</v>
      </c>
      <c r="L397" s="6" t="s">
        <v>27</v>
      </c>
      <c r="M397" s="6" t="s">
        <v>27</v>
      </c>
      <c r="N397" s="6" t="s">
        <v>27</v>
      </c>
      <c r="O397" s="6" t="s">
        <v>27</v>
      </c>
      <c r="P397" s="6" t="s">
        <v>27</v>
      </c>
      <c r="Q397" s="6"/>
      <c r="R397" s="33">
        <f t="shared" si="10"/>
        <v>2024</v>
      </c>
      <c r="S397" s="33"/>
    </row>
    <row r="398" spans="1:19" ht="14.5" x14ac:dyDescent="0.35">
      <c r="A398" s="7" t="s">
        <v>1830</v>
      </c>
      <c r="B398" s="7" t="s">
        <v>314</v>
      </c>
      <c r="C398" s="7" t="s">
        <v>48</v>
      </c>
      <c r="D398" s="7" t="s">
        <v>1876</v>
      </c>
      <c r="E398" s="7" t="s">
        <v>1796</v>
      </c>
      <c r="F398" s="8"/>
      <c r="G398" s="60"/>
      <c r="H398" s="6" t="s">
        <v>1475</v>
      </c>
      <c r="I398" s="6" t="s">
        <v>27</v>
      </c>
      <c r="J398" s="6" t="s">
        <v>27</v>
      </c>
      <c r="K398" s="6" t="s">
        <v>27</v>
      </c>
      <c r="L398" s="6" t="s">
        <v>27</v>
      </c>
      <c r="M398" s="6" t="s">
        <v>27</v>
      </c>
      <c r="N398" s="6" t="s">
        <v>27</v>
      </c>
      <c r="O398" s="6" t="s">
        <v>27</v>
      </c>
      <c r="P398" s="6" t="s">
        <v>27</v>
      </c>
      <c r="Q398" s="6"/>
      <c r="R398" s="33">
        <f t="shared" si="10"/>
        <v>2024</v>
      </c>
      <c r="S398" s="33"/>
    </row>
    <row r="399" spans="1:19" ht="14.5" x14ac:dyDescent="0.35">
      <c r="A399" s="7" t="s">
        <v>1862</v>
      </c>
      <c r="B399" s="7" t="s">
        <v>1863</v>
      </c>
      <c r="C399" s="7" t="s">
        <v>23</v>
      </c>
      <c r="D399" s="7" t="s">
        <v>1889</v>
      </c>
      <c r="E399" s="7" t="s">
        <v>1890</v>
      </c>
      <c r="F399" s="8"/>
      <c r="G399" s="60"/>
      <c r="H399" s="6" t="s">
        <v>1475</v>
      </c>
      <c r="I399" s="6" t="s">
        <v>27</v>
      </c>
      <c r="J399" s="6" t="s">
        <v>27</v>
      </c>
      <c r="K399" s="6" t="s">
        <v>27</v>
      </c>
      <c r="L399" s="6" t="s">
        <v>27</v>
      </c>
      <c r="M399" s="6" t="s">
        <v>27</v>
      </c>
      <c r="N399" s="6" t="s">
        <v>27</v>
      </c>
      <c r="O399" s="6" t="s">
        <v>27</v>
      </c>
      <c r="P399" s="6" t="s">
        <v>27</v>
      </c>
      <c r="Q399" s="6"/>
      <c r="R399" s="33">
        <f t="shared" si="10"/>
        <v>2024</v>
      </c>
      <c r="S399" s="36"/>
    </row>
    <row r="400" spans="1:19" ht="14.5" x14ac:dyDescent="0.35">
      <c r="A400" s="7" t="s">
        <v>1858</v>
      </c>
      <c r="B400" s="7" t="s">
        <v>1859</v>
      </c>
      <c r="C400" s="7" t="s">
        <v>1756</v>
      </c>
      <c r="D400" s="7" t="s">
        <v>1635</v>
      </c>
      <c r="E400" s="7" t="s">
        <v>1860</v>
      </c>
      <c r="F400" s="8"/>
      <c r="G400" s="60"/>
      <c r="H400" s="6" t="s">
        <v>749</v>
      </c>
      <c r="I400" s="175"/>
      <c r="J400" s="175"/>
      <c r="K400" s="175"/>
      <c r="L400" s="175"/>
      <c r="M400" s="175"/>
      <c r="N400" s="175"/>
      <c r="O400" s="175"/>
      <c r="P400" s="175"/>
      <c r="Q400" s="6"/>
      <c r="R400" s="33">
        <f t="shared" si="10"/>
        <v>2024</v>
      </c>
      <c r="S400" s="33"/>
    </row>
    <row r="401" spans="1:19" ht="14.5" x14ac:dyDescent="0.35">
      <c r="A401" s="7" t="s">
        <v>1862</v>
      </c>
      <c r="B401" s="7" t="s">
        <v>1863</v>
      </c>
      <c r="C401" s="7" t="s">
        <v>23</v>
      </c>
      <c r="D401" s="7" t="s">
        <v>1891</v>
      </c>
      <c r="E401" s="7" t="s">
        <v>1892</v>
      </c>
      <c r="F401" s="8"/>
      <c r="G401" s="60"/>
      <c r="H401" s="6" t="s">
        <v>1475</v>
      </c>
      <c r="I401" s="6" t="s">
        <v>27</v>
      </c>
      <c r="J401" s="6" t="s">
        <v>27</v>
      </c>
      <c r="K401" s="6" t="s">
        <v>27</v>
      </c>
      <c r="L401" s="6" t="s">
        <v>27</v>
      </c>
      <c r="M401" s="6" t="s">
        <v>27</v>
      </c>
      <c r="N401" s="6" t="s">
        <v>27</v>
      </c>
      <c r="O401" s="6" t="s">
        <v>27</v>
      </c>
      <c r="P401" s="6" t="s">
        <v>27</v>
      </c>
      <c r="Q401" s="6"/>
      <c r="R401" s="33">
        <f t="shared" si="10"/>
        <v>2024</v>
      </c>
      <c r="S401" s="36"/>
    </row>
    <row r="402" spans="1:19" ht="14.5" x14ac:dyDescent="0.35">
      <c r="A402" s="7" t="s">
        <v>1797</v>
      </c>
      <c r="B402" s="7" t="s">
        <v>340</v>
      </c>
      <c r="C402" s="7" t="s">
        <v>48</v>
      </c>
      <c r="D402" s="7" t="s">
        <v>1904</v>
      </c>
      <c r="E402" s="7" t="s">
        <v>1905</v>
      </c>
      <c r="F402" s="8"/>
      <c r="G402" s="60"/>
      <c r="H402" s="6" t="s">
        <v>1475</v>
      </c>
      <c r="I402" s="6" t="s">
        <v>27</v>
      </c>
      <c r="J402" s="6" t="s">
        <v>27</v>
      </c>
      <c r="K402" s="6" t="s">
        <v>27</v>
      </c>
      <c r="L402" s="6" t="s">
        <v>27</v>
      </c>
      <c r="M402" s="6" t="s">
        <v>27</v>
      </c>
      <c r="N402" s="6" t="s">
        <v>27</v>
      </c>
      <c r="O402" s="6" t="s">
        <v>27</v>
      </c>
      <c r="P402" s="6" t="s">
        <v>27</v>
      </c>
      <c r="Q402" s="6"/>
      <c r="R402" s="33">
        <f t="shared" si="10"/>
        <v>2024</v>
      </c>
      <c r="S402" s="33"/>
    </row>
    <row r="403" spans="1:19" ht="14.5" x14ac:dyDescent="0.35">
      <c r="A403" s="7" t="s">
        <v>1862</v>
      </c>
      <c r="B403" s="7" t="s">
        <v>1906</v>
      </c>
      <c r="C403" s="7" t="s">
        <v>23</v>
      </c>
      <c r="D403" s="7" t="s">
        <v>1907</v>
      </c>
      <c r="E403" s="7" t="s">
        <v>1763</v>
      </c>
      <c r="F403" s="8"/>
      <c r="G403" s="60"/>
      <c r="H403" s="6" t="s">
        <v>1475</v>
      </c>
      <c r="I403" s="6" t="s">
        <v>27</v>
      </c>
      <c r="J403" s="6" t="s">
        <v>27</v>
      </c>
      <c r="K403" s="6" t="s">
        <v>27</v>
      </c>
      <c r="L403" s="6" t="s">
        <v>27</v>
      </c>
      <c r="M403" s="6" t="s">
        <v>27</v>
      </c>
      <c r="N403" s="6" t="s">
        <v>27</v>
      </c>
      <c r="O403" s="6" t="s">
        <v>27</v>
      </c>
      <c r="P403" s="6" t="s">
        <v>27</v>
      </c>
      <c r="Q403" s="6"/>
      <c r="R403" s="33">
        <f t="shared" si="10"/>
        <v>2024</v>
      </c>
      <c r="S403" s="36"/>
    </row>
    <row r="404" spans="1:19" ht="14.5" x14ac:dyDescent="0.35">
      <c r="A404" s="7" t="s">
        <v>1797</v>
      </c>
      <c r="B404" s="7" t="s">
        <v>340</v>
      </c>
      <c r="C404" s="7" t="s">
        <v>48</v>
      </c>
      <c r="D404" s="7" t="s">
        <v>1497</v>
      </c>
      <c r="E404" s="7" t="s">
        <v>1908</v>
      </c>
      <c r="F404" s="8"/>
      <c r="G404" s="60"/>
      <c r="H404" s="6" t="s">
        <v>1475</v>
      </c>
      <c r="I404" s="6" t="s">
        <v>27</v>
      </c>
      <c r="J404" s="6" t="s">
        <v>27</v>
      </c>
      <c r="K404" s="6" t="s">
        <v>27</v>
      </c>
      <c r="L404" s="6" t="s">
        <v>27</v>
      </c>
      <c r="M404" s="6" t="s">
        <v>27</v>
      </c>
      <c r="N404" s="6" t="s">
        <v>27</v>
      </c>
      <c r="O404" s="6" t="s">
        <v>27</v>
      </c>
      <c r="P404" s="6" t="s">
        <v>27</v>
      </c>
      <c r="Q404" s="6"/>
      <c r="R404" s="33">
        <f t="shared" si="10"/>
        <v>2024</v>
      </c>
      <c r="S404" s="33"/>
    </row>
    <row r="405" spans="1:19" ht="14.5" x14ac:dyDescent="0.35">
      <c r="A405" s="7" t="s">
        <v>1858</v>
      </c>
      <c r="B405" s="7" t="s">
        <v>1859</v>
      </c>
      <c r="C405" s="7" t="s">
        <v>1756</v>
      </c>
      <c r="D405" s="7" t="s">
        <v>1635</v>
      </c>
      <c r="E405" s="7" t="s">
        <v>1489</v>
      </c>
      <c r="F405" s="8"/>
      <c r="G405" s="60"/>
      <c r="H405" s="6" t="s">
        <v>1475</v>
      </c>
      <c r="I405" s="6" t="s">
        <v>27</v>
      </c>
      <c r="J405" s="6" t="s">
        <v>27</v>
      </c>
      <c r="K405" s="6" t="s">
        <v>27</v>
      </c>
      <c r="L405" s="6" t="s">
        <v>27</v>
      </c>
      <c r="M405" s="6" t="s">
        <v>27</v>
      </c>
      <c r="N405" s="6" t="s">
        <v>27</v>
      </c>
      <c r="O405" s="6" t="s">
        <v>27</v>
      </c>
      <c r="P405" s="6" t="s">
        <v>27</v>
      </c>
      <c r="Q405" s="6"/>
      <c r="R405" s="33">
        <f t="shared" si="10"/>
        <v>2024</v>
      </c>
      <c r="S405" s="33"/>
    </row>
    <row r="406" spans="1:19" ht="14.5" x14ac:dyDescent="0.35">
      <c r="A406" s="7" t="s">
        <v>1862</v>
      </c>
      <c r="B406" s="7" t="s">
        <v>1906</v>
      </c>
      <c r="C406" s="7" t="s">
        <v>23</v>
      </c>
      <c r="D406" s="7" t="s">
        <v>1697</v>
      </c>
      <c r="E406" s="7" t="s">
        <v>1909</v>
      </c>
      <c r="F406" s="8"/>
      <c r="G406" s="60"/>
      <c r="H406" s="6" t="s">
        <v>1475</v>
      </c>
      <c r="I406" s="6" t="s">
        <v>27</v>
      </c>
      <c r="J406" s="6" t="s">
        <v>27</v>
      </c>
      <c r="K406" s="6" t="s">
        <v>27</v>
      </c>
      <c r="L406" s="6" t="s">
        <v>27</v>
      </c>
      <c r="M406" s="6" t="s">
        <v>27</v>
      </c>
      <c r="N406" s="6" t="s">
        <v>27</v>
      </c>
      <c r="O406" s="6" t="s">
        <v>27</v>
      </c>
      <c r="P406" s="6" t="s">
        <v>27</v>
      </c>
      <c r="Q406" s="6"/>
      <c r="R406" s="33">
        <f t="shared" si="10"/>
        <v>2024</v>
      </c>
      <c r="S406" s="36"/>
    </row>
    <row r="407" spans="1:19" ht="14.5" x14ac:dyDescent="0.35">
      <c r="A407" s="7" t="s">
        <v>1862</v>
      </c>
      <c r="B407" s="7" t="s">
        <v>1906</v>
      </c>
      <c r="C407" s="7" t="s">
        <v>23</v>
      </c>
      <c r="D407" s="7" t="s">
        <v>1910</v>
      </c>
      <c r="E407" s="7" t="s">
        <v>1696</v>
      </c>
      <c r="F407" s="8"/>
      <c r="G407" s="60"/>
      <c r="H407" s="6" t="s">
        <v>1475</v>
      </c>
      <c r="I407" s="6" t="s">
        <v>27</v>
      </c>
      <c r="J407" s="6" t="s">
        <v>27</v>
      </c>
      <c r="K407" s="6" t="s">
        <v>27</v>
      </c>
      <c r="L407" s="6" t="s">
        <v>27</v>
      </c>
      <c r="M407" s="6" t="s">
        <v>27</v>
      </c>
      <c r="N407" s="6" t="s">
        <v>27</v>
      </c>
      <c r="O407" s="6" t="s">
        <v>27</v>
      </c>
      <c r="P407" s="6" t="s">
        <v>27</v>
      </c>
      <c r="Q407" s="6"/>
      <c r="R407" s="33">
        <f t="shared" si="10"/>
        <v>2024</v>
      </c>
      <c r="S407" s="36"/>
    </row>
    <row r="408" spans="1:19" ht="14.5" x14ac:dyDescent="0.35">
      <c r="A408" s="7" t="s">
        <v>1862</v>
      </c>
      <c r="B408" s="7" t="s">
        <v>1906</v>
      </c>
      <c r="C408" s="7" t="s">
        <v>23</v>
      </c>
      <c r="D408" s="7" t="s">
        <v>1693</v>
      </c>
      <c r="E408" s="7" t="s">
        <v>1504</v>
      </c>
      <c r="F408" s="8"/>
      <c r="G408" s="60"/>
      <c r="H408" s="6" t="s">
        <v>1475</v>
      </c>
      <c r="I408" s="6" t="s">
        <v>27</v>
      </c>
      <c r="J408" s="6" t="s">
        <v>27</v>
      </c>
      <c r="K408" s="6" t="s">
        <v>27</v>
      </c>
      <c r="L408" s="6" t="s">
        <v>27</v>
      </c>
      <c r="M408" s="6" t="s">
        <v>27</v>
      </c>
      <c r="N408" s="6" t="s">
        <v>27</v>
      </c>
      <c r="O408" s="6" t="s">
        <v>27</v>
      </c>
      <c r="P408" s="6" t="s">
        <v>27</v>
      </c>
      <c r="Q408" s="6"/>
      <c r="R408" s="33">
        <f t="shared" si="10"/>
        <v>2024</v>
      </c>
      <c r="S408" s="36"/>
    </row>
    <row r="409" spans="1:19" ht="14.5" x14ac:dyDescent="0.35">
      <c r="A409" s="7" t="s">
        <v>1830</v>
      </c>
      <c r="B409" s="7" t="s">
        <v>314</v>
      </c>
      <c r="C409" s="7" t="s">
        <v>48</v>
      </c>
      <c r="D409" s="7" t="s">
        <v>1693</v>
      </c>
      <c r="E409" s="7" t="s">
        <v>1789</v>
      </c>
      <c r="F409" s="8"/>
      <c r="G409" s="60"/>
      <c r="H409" s="6" t="s">
        <v>1475</v>
      </c>
      <c r="I409" s="6" t="s">
        <v>27</v>
      </c>
      <c r="J409" s="6" t="s">
        <v>27</v>
      </c>
      <c r="K409" s="6" t="s">
        <v>27</v>
      </c>
      <c r="L409" s="6" t="s">
        <v>27</v>
      </c>
      <c r="M409" s="6" t="s">
        <v>27</v>
      </c>
      <c r="N409" s="6" t="s">
        <v>27</v>
      </c>
      <c r="O409" s="6" t="s">
        <v>27</v>
      </c>
      <c r="P409" s="6" t="s">
        <v>27</v>
      </c>
      <c r="Q409" s="6"/>
      <c r="R409" s="33">
        <f t="shared" si="10"/>
        <v>2024</v>
      </c>
      <c r="S409" s="33"/>
    </row>
    <row r="410" spans="1:19" ht="14.5" x14ac:dyDescent="0.35">
      <c r="A410" s="7" t="s">
        <v>1862</v>
      </c>
      <c r="B410" s="7" t="s">
        <v>1906</v>
      </c>
      <c r="C410" s="7" t="s">
        <v>23</v>
      </c>
      <c r="D410" s="7" t="s">
        <v>1710</v>
      </c>
      <c r="E410" s="7" t="s">
        <v>1911</v>
      </c>
      <c r="F410" s="8"/>
      <c r="G410" s="60"/>
      <c r="H410" s="6" t="s">
        <v>1680</v>
      </c>
      <c r="I410" s="6" t="s">
        <v>27</v>
      </c>
      <c r="J410" s="6" t="s">
        <v>27</v>
      </c>
      <c r="K410" s="6" t="s">
        <v>27</v>
      </c>
      <c r="L410" s="6" t="s">
        <v>27</v>
      </c>
      <c r="M410" s="6" t="s">
        <v>27</v>
      </c>
      <c r="N410" s="6" t="s">
        <v>27</v>
      </c>
      <c r="O410" s="6" t="s">
        <v>27</v>
      </c>
      <c r="P410" s="6" t="s">
        <v>27</v>
      </c>
      <c r="Q410" s="6"/>
      <c r="R410" s="33">
        <f t="shared" si="10"/>
        <v>2024</v>
      </c>
      <c r="S410" s="36"/>
    </row>
    <row r="411" spans="1:19" ht="14.5" x14ac:dyDescent="0.35">
      <c r="A411" s="7" t="s">
        <v>1862</v>
      </c>
      <c r="B411" s="7" t="s">
        <v>1906</v>
      </c>
      <c r="C411" s="7" t="s">
        <v>23</v>
      </c>
      <c r="D411" s="7" t="s">
        <v>1864</v>
      </c>
      <c r="E411" s="7" t="s">
        <v>1912</v>
      </c>
      <c r="F411" s="8"/>
      <c r="G411" s="60"/>
      <c r="H411" s="6" t="s">
        <v>1475</v>
      </c>
      <c r="I411" s="6" t="s">
        <v>27</v>
      </c>
      <c r="J411" s="6" t="s">
        <v>27</v>
      </c>
      <c r="K411" s="6" t="s">
        <v>27</v>
      </c>
      <c r="L411" s="6" t="s">
        <v>27</v>
      </c>
      <c r="M411" s="6" t="s">
        <v>27</v>
      </c>
      <c r="N411" s="6" t="s">
        <v>27</v>
      </c>
      <c r="O411" s="6" t="s">
        <v>27</v>
      </c>
      <c r="P411" s="6" t="s">
        <v>27</v>
      </c>
      <c r="Q411" s="6"/>
      <c r="R411" s="33">
        <f t="shared" si="10"/>
        <v>2024</v>
      </c>
      <c r="S411" s="36"/>
    </row>
    <row r="412" spans="1:19" ht="14.5" x14ac:dyDescent="0.35">
      <c r="A412" s="7" t="s">
        <v>1862</v>
      </c>
      <c r="B412" s="7" t="s">
        <v>1863</v>
      </c>
      <c r="C412" s="7" t="s">
        <v>23</v>
      </c>
      <c r="D412" s="7" t="s">
        <v>1913</v>
      </c>
      <c r="E412" s="7" t="s">
        <v>1914</v>
      </c>
      <c r="F412" s="8"/>
      <c r="G412" s="60"/>
      <c r="H412" s="6" t="s">
        <v>1475</v>
      </c>
      <c r="I412" s="6" t="s">
        <v>27</v>
      </c>
      <c r="J412" s="6" t="s">
        <v>27</v>
      </c>
      <c r="K412" s="6" t="s">
        <v>27</v>
      </c>
      <c r="L412" s="6" t="s">
        <v>27</v>
      </c>
      <c r="M412" s="6" t="s">
        <v>27</v>
      </c>
      <c r="N412" s="6" t="s">
        <v>27</v>
      </c>
      <c r="O412" s="6" t="s">
        <v>27</v>
      </c>
      <c r="P412" s="6" t="s">
        <v>27</v>
      </c>
      <c r="Q412" s="6"/>
      <c r="R412" s="33">
        <f t="shared" si="10"/>
        <v>2024</v>
      </c>
      <c r="S412" s="36"/>
    </row>
    <row r="413" spans="1:19" ht="14.5" x14ac:dyDescent="0.35">
      <c r="A413" s="7" t="s">
        <v>1162</v>
      </c>
      <c r="B413" s="7" t="s">
        <v>386</v>
      </c>
      <c r="C413" s="7" t="s">
        <v>37</v>
      </c>
      <c r="D413" s="7" t="s">
        <v>1510</v>
      </c>
      <c r="E413" s="7" t="s">
        <v>1020</v>
      </c>
      <c r="F413" s="8"/>
      <c r="G413" s="60"/>
      <c r="H413" s="6" t="s">
        <v>1475</v>
      </c>
      <c r="I413" s="6" t="s">
        <v>27</v>
      </c>
      <c r="J413" s="6" t="s">
        <v>27</v>
      </c>
      <c r="K413" s="6" t="s">
        <v>27</v>
      </c>
      <c r="L413" s="6" t="s">
        <v>27</v>
      </c>
      <c r="M413" s="6" t="s">
        <v>27</v>
      </c>
      <c r="N413" s="6" t="s">
        <v>27</v>
      </c>
      <c r="O413" s="6" t="s">
        <v>27</v>
      </c>
      <c r="P413" s="6" t="s">
        <v>27</v>
      </c>
      <c r="Q413" s="6"/>
      <c r="R413" s="33">
        <f t="shared" si="10"/>
        <v>2024</v>
      </c>
      <c r="S413" s="33"/>
    </row>
    <row r="414" spans="1:19" ht="14.5" x14ac:dyDescent="0.35">
      <c r="A414" s="7" t="s">
        <v>1825</v>
      </c>
      <c r="B414" s="7" t="s">
        <v>326</v>
      </c>
      <c r="C414" s="7" t="s">
        <v>1756</v>
      </c>
      <c r="D414" s="7" t="s">
        <v>1915</v>
      </c>
      <c r="E414" s="7" t="s">
        <v>1775</v>
      </c>
      <c r="F414" s="8"/>
      <c r="G414" s="60"/>
      <c r="H414" s="6" t="s">
        <v>749</v>
      </c>
      <c r="I414" s="175"/>
      <c r="J414" s="175"/>
      <c r="K414" s="175"/>
      <c r="L414" s="175"/>
      <c r="M414" s="175"/>
      <c r="N414" s="175"/>
      <c r="O414" s="175"/>
      <c r="P414" s="175"/>
      <c r="Q414" s="6"/>
      <c r="R414" s="33">
        <f t="shared" si="10"/>
        <v>2024</v>
      </c>
      <c r="S414" s="33"/>
    </row>
    <row r="415" spans="1:19" ht="14.5" x14ac:dyDescent="0.35">
      <c r="A415" s="7" t="s">
        <v>1916</v>
      </c>
      <c r="B415" s="7" t="s">
        <v>176</v>
      </c>
      <c r="C415" s="7" t="s">
        <v>48</v>
      </c>
      <c r="D415" s="7" t="s">
        <v>1693</v>
      </c>
      <c r="E415" s="7" t="s">
        <v>1124</v>
      </c>
      <c r="F415" s="8"/>
      <c r="G415" s="60"/>
      <c r="H415" s="6" t="s">
        <v>1475</v>
      </c>
      <c r="I415" s="6" t="s">
        <v>27</v>
      </c>
      <c r="J415" s="6" t="s">
        <v>27</v>
      </c>
      <c r="K415" s="6" t="s">
        <v>27</v>
      </c>
      <c r="L415" s="6" t="s">
        <v>27</v>
      </c>
      <c r="M415" s="6" t="s">
        <v>27</v>
      </c>
      <c r="N415" s="6" t="s">
        <v>27</v>
      </c>
      <c r="O415" s="6" t="s">
        <v>27</v>
      </c>
      <c r="P415" s="6" t="s">
        <v>27</v>
      </c>
      <c r="Q415" s="6"/>
      <c r="R415" s="33">
        <f t="shared" si="10"/>
        <v>2025</v>
      </c>
      <c r="S415" s="33"/>
    </row>
    <row r="416" spans="1:19" ht="14.5" x14ac:dyDescent="0.35">
      <c r="A416" s="7" t="s">
        <v>1916</v>
      </c>
      <c r="B416" s="7" t="s">
        <v>176</v>
      </c>
      <c r="C416" s="7" t="s">
        <v>48</v>
      </c>
      <c r="D416" s="7" t="s">
        <v>1693</v>
      </c>
      <c r="E416" s="7" t="s">
        <v>1917</v>
      </c>
      <c r="F416" s="8"/>
      <c r="G416" s="60"/>
      <c r="H416" s="6" t="s">
        <v>1475</v>
      </c>
      <c r="I416" s="6" t="s">
        <v>27</v>
      </c>
      <c r="J416" s="6" t="s">
        <v>27</v>
      </c>
      <c r="K416" s="6" t="s">
        <v>27</v>
      </c>
      <c r="L416" s="6" t="s">
        <v>27</v>
      </c>
      <c r="M416" s="6" t="s">
        <v>27</v>
      </c>
      <c r="N416" s="6" t="s">
        <v>27</v>
      </c>
      <c r="O416" s="6" t="s">
        <v>27</v>
      </c>
      <c r="P416" s="6" t="s">
        <v>27</v>
      </c>
      <c r="Q416" s="6"/>
      <c r="R416" s="33">
        <f t="shared" si="10"/>
        <v>2025</v>
      </c>
      <c r="S416" s="33"/>
    </row>
    <row r="417" spans="1:19" ht="14.5" x14ac:dyDescent="0.35">
      <c r="A417" s="7" t="s">
        <v>187</v>
      </c>
      <c r="B417" s="7" t="s">
        <v>188</v>
      </c>
      <c r="C417" s="7" t="s">
        <v>61</v>
      </c>
      <c r="D417" s="7" t="s">
        <v>1747</v>
      </c>
      <c r="E417" s="7" t="s">
        <v>1748</v>
      </c>
      <c r="F417" s="8"/>
      <c r="G417" s="60"/>
      <c r="H417" s="6" t="s">
        <v>1475</v>
      </c>
      <c r="I417" s="6" t="s">
        <v>27</v>
      </c>
      <c r="J417" s="6" t="s">
        <v>27</v>
      </c>
      <c r="K417" s="6" t="s">
        <v>27</v>
      </c>
      <c r="L417" s="6" t="s">
        <v>27</v>
      </c>
      <c r="M417" s="6" t="s">
        <v>27</v>
      </c>
      <c r="N417" s="6" t="s">
        <v>27</v>
      </c>
      <c r="O417" s="6" t="s">
        <v>27</v>
      </c>
      <c r="P417" s="6" t="s">
        <v>27</v>
      </c>
      <c r="Q417" s="6" t="s">
        <v>62</v>
      </c>
      <c r="R417" s="33">
        <f t="shared" si="10"/>
        <v>2025</v>
      </c>
      <c r="S417" s="33"/>
    </row>
    <row r="418" spans="1:19" ht="14.5" x14ac:dyDescent="0.35">
      <c r="A418" s="7" t="s">
        <v>1918</v>
      </c>
      <c r="B418" s="7" t="s">
        <v>1919</v>
      </c>
      <c r="C418" s="7" t="s">
        <v>48</v>
      </c>
      <c r="D418" s="7" t="s">
        <v>1483</v>
      </c>
      <c r="E418" s="7" t="s">
        <v>1185</v>
      </c>
      <c r="F418" s="8"/>
      <c r="G418" s="60"/>
      <c r="H418" s="6" t="s">
        <v>1475</v>
      </c>
      <c r="I418" s="6" t="s">
        <v>27</v>
      </c>
      <c r="J418" s="6" t="s">
        <v>27</v>
      </c>
      <c r="K418" s="6" t="s">
        <v>27</v>
      </c>
      <c r="L418" s="6" t="s">
        <v>27</v>
      </c>
      <c r="M418" s="6" t="s">
        <v>27</v>
      </c>
      <c r="N418" s="6" t="s">
        <v>27</v>
      </c>
      <c r="O418" s="6" t="s">
        <v>27</v>
      </c>
      <c r="P418" s="6" t="s">
        <v>27</v>
      </c>
      <c r="Q418" s="6"/>
      <c r="R418" s="33">
        <f t="shared" si="10"/>
        <v>2025</v>
      </c>
      <c r="S418" s="33"/>
    </row>
    <row r="419" spans="1:19" ht="14.5" x14ac:dyDescent="0.35">
      <c r="A419" s="7" t="s">
        <v>1918</v>
      </c>
      <c r="B419" s="7" t="s">
        <v>1919</v>
      </c>
      <c r="C419" s="7" t="s">
        <v>48</v>
      </c>
      <c r="D419" s="7" t="s">
        <v>1759</v>
      </c>
      <c r="E419" s="7" t="s">
        <v>1491</v>
      </c>
      <c r="F419" s="8"/>
      <c r="G419" s="60"/>
      <c r="H419" s="6" t="s">
        <v>1475</v>
      </c>
      <c r="I419" s="175"/>
      <c r="J419" s="175"/>
      <c r="K419" s="175"/>
      <c r="L419" s="175"/>
      <c r="M419" s="175"/>
      <c r="N419" s="175"/>
      <c r="O419" s="175"/>
      <c r="P419" s="175"/>
      <c r="Q419" s="6"/>
      <c r="R419" s="33">
        <f t="shared" si="10"/>
        <v>2025</v>
      </c>
      <c r="S419" s="33"/>
    </row>
    <row r="420" spans="1:19" ht="14.5" x14ac:dyDescent="0.35">
      <c r="A420" s="7" t="s">
        <v>1918</v>
      </c>
      <c r="B420" s="7" t="s">
        <v>1919</v>
      </c>
      <c r="C420" s="7" t="s">
        <v>48</v>
      </c>
      <c r="D420" s="7" t="s">
        <v>1920</v>
      </c>
      <c r="E420" s="7" t="s">
        <v>1020</v>
      </c>
      <c r="F420" s="8"/>
      <c r="G420" s="60"/>
      <c r="H420" s="6" t="s">
        <v>1475</v>
      </c>
      <c r="I420" s="6" t="s">
        <v>27</v>
      </c>
      <c r="J420" s="6" t="s">
        <v>27</v>
      </c>
      <c r="K420" s="6" t="s">
        <v>27</v>
      </c>
      <c r="L420" s="6" t="s">
        <v>27</v>
      </c>
      <c r="M420" s="6" t="s">
        <v>27</v>
      </c>
      <c r="N420" s="6" t="s">
        <v>27</v>
      </c>
      <c r="O420" s="6" t="s">
        <v>27</v>
      </c>
      <c r="P420" s="6" t="s">
        <v>27</v>
      </c>
      <c r="Q420" s="6"/>
      <c r="R420" s="33">
        <f t="shared" si="10"/>
        <v>2025</v>
      </c>
      <c r="S420" s="33"/>
    </row>
    <row r="421" spans="1:19" ht="14.5" x14ac:dyDescent="0.35">
      <c r="A421" s="7" t="s">
        <v>1918</v>
      </c>
      <c r="B421" s="7" t="s">
        <v>1919</v>
      </c>
      <c r="C421" s="7" t="s">
        <v>48</v>
      </c>
      <c r="D421" s="7" t="s">
        <v>1921</v>
      </c>
      <c r="E421" s="7" t="s">
        <v>1922</v>
      </c>
      <c r="F421" s="8"/>
      <c r="G421" s="60"/>
      <c r="H421" s="6" t="s">
        <v>1475</v>
      </c>
      <c r="I421" s="6" t="s">
        <v>27</v>
      </c>
      <c r="J421" s="6" t="s">
        <v>27</v>
      </c>
      <c r="K421" s="6" t="s">
        <v>27</v>
      </c>
      <c r="L421" s="6" t="s">
        <v>27</v>
      </c>
      <c r="M421" s="6" t="s">
        <v>27</v>
      </c>
      <c r="N421" s="6" t="s">
        <v>27</v>
      </c>
      <c r="O421" s="6" t="s">
        <v>27</v>
      </c>
      <c r="P421" s="6" t="s">
        <v>27</v>
      </c>
      <c r="Q421" s="6"/>
      <c r="R421" s="33">
        <f t="shared" si="10"/>
        <v>2025</v>
      </c>
      <c r="S421" s="33"/>
    </row>
    <row r="422" spans="1:19" ht="14.5" x14ac:dyDescent="0.35">
      <c r="A422" s="7" t="s">
        <v>1918</v>
      </c>
      <c r="B422" s="7" t="s">
        <v>1919</v>
      </c>
      <c r="C422" s="7" t="s">
        <v>48</v>
      </c>
      <c r="D422" s="7" t="s">
        <v>1907</v>
      </c>
      <c r="E422" s="7" t="s">
        <v>1763</v>
      </c>
      <c r="F422" s="8"/>
      <c r="G422" s="60"/>
      <c r="H422" s="6" t="s">
        <v>1475</v>
      </c>
      <c r="I422" s="6" t="s">
        <v>27</v>
      </c>
      <c r="J422" s="6" t="s">
        <v>27</v>
      </c>
      <c r="K422" s="6" t="s">
        <v>27</v>
      </c>
      <c r="L422" s="6" t="s">
        <v>27</v>
      </c>
      <c r="M422" s="6" t="s">
        <v>27</v>
      </c>
      <c r="N422" s="6" t="s">
        <v>27</v>
      </c>
      <c r="O422" s="6" t="s">
        <v>27</v>
      </c>
      <c r="P422" s="6" t="s">
        <v>27</v>
      </c>
      <c r="Q422" s="6"/>
      <c r="R422" s="33">
        <f t="shared" si="10"/>
        <v>2025</v>
      </c>
      <c r="S422" s="33"/>
    </row>
    <row r="423" spans="1:19" ht="14.5" x14ac:dyDescent="0.35">
      <c r="A423" s="7" t="s">
        <v>1918</v>
      </c>
      <c r="B423" s="7" t="s">
        <v>1919</v>
      </c>
      <c r="C423" s="7" t="s">
        <v>48</v>
      </c>
      <c r="D423" s="7" t="s">
        <v>1806</v>
      </c>
      <c r="E423" s="7" t="s">
        <v>1790</v>
      </c>
      <c r="F423" s="8"/>
      <c r="G423" s="60"/>
      <c r="H423" s="6" t="s">
        <v>1475</v>
      </c>
      <c r="I423" s="6" t="s">
        <v>27</v>
      </c>
      <c r="J423" s="6" t="s">
        <v>27</v>
      </c>
      <c r="K423" s="6" t="s">
        <v>27</v>
      </c>
      <c r="L423" s="6" t="s">
        <v>27</v>
      </c>
      <c r="M423" s="6" t="s">
        <v>27</v>
      </c>
      <c r="N423" s="6" t="s">
        <v>27</v>
      </c>
      <c r="O423" s="6" t="s">
        <v>27</v>
      </c>
      <c r="P423" s="6" t="s">
        <v>27</v>
      </c>
      <c r="Q423" s="6"/>
      <c r="R423" s="33">
        <f t="shared" si="10"/>
        <v>2025</v>
      </c>
      <c r="S423" s="33"/>
    </row>
    <row r="424" spans="1:19" ht="14.5" x14ac:dyDescent="0.35">
      <c r="A424" s="7" t="s">
        <v>1918</v>
      </c>
      <c r="B424" s="7" t="s">
        <v>1919</v>
      </c>
      <c r="C424" s="7" t="s">
        <v>48</v>
      </c>
      <c r="D424" s="7" t="s">
        <v>1876</v>
      </c>
      <c r="E424" s="7" t="s">
        <v>1796</v>
      </c>
      <c r="F424" s="8"/>
      <c r="G424" s="60"/>
      <c r="H424" s="6" t="s">
        <v>1475</v>
      </c>
      <c r="I424" s="6" t="s">
        <v>27</v>
      </c>
      <c r="J424" s="6" t="s">
        <v>27</v>
      </c>
      <c r="K424" s="6" t="s">
        <v>27</v>
      </c>
      <c r="L424" s="6" t="s">
        <v>27</v>
      </c>
      <c r="M424" s="6" t="s">
        <v>27</v>
      </c>
      <c r="N424" s="6" t="s">
        <v>27</v>
      </c>
      <c r="O424" s="6" t="s">
        <v>27</v>
      </c>
      <c r="P424" s="6" t="s">
        <v>27</v>
      </c>
      <c r="Q424" s="6"/>
      <c r="R424" s="33">
        <f t="shared" si="10"/>
        <v>2025</v>
      </c>
      <c r="S424" s="33"/>
    </row>
    <row r="425" spans="1:19" ht="14.5" x14ac:dyDescent="0.35">
      <c r="A425" s="7" t="s">
        <v>1918</v>
      </c>
      <c r="B425" s="7" t="s">
        <v>1919</v>
      </c>
      <c r="C425" s="7" t="s">
        <v>48</v>
      </c>
      <c r="D425" s="7" t="s">
        <v>1693</v>
      </c>
      <c r="E425" s="7" t="s">
        <v>1917</v>
      </c>
      <c r="F425" s="8"/>
      <c r="G425" s="60"/>
      <c r="H425" s="6" t="s">
        <v>1475</v>
      </c>
      <c r="I425" s="6" t="s">
        <v>27</v>
      </c>
      <c r="J425" s="6" t="s">
        <v>27</v>
      </c>
      <c r="K425" s="6" t="s">
        <v>27</v>
      </c>
      <c r="L425" s="6" t="s">
        <v>27</v>
      </c>
      <c r="M425" s="6" t="s">
        <v>27</v>
      </c>
      <c r="N425" s="6" t="s">
        <v>27</v>
      </c>
      <c r="O425" s="6" t="s">
        <v>27</v>
      </c>
      <c r="P425" s="6" t="s">
        <v>27</v>
      </c>
      <c r="Q425" s="6"/>
      <c r="R425" s="33">
        <f t="shared" ref="R425:R444" si="11">IFERROR(2000+VALUE(LEFT(A425,2)),"")</f>
        <v>2025</v>
      </c>
      <c r="S425" s="33"/>
    </row>
    <row r="426" spans="1:19" ht="14.5" x14ac:dyDescent="0.35">
      <c r="A426" s="7" t="s">
        <v>1918</v>
      </c>
      <c r="B426" s="7" t="s">
        <v>1919</v>
      </c>
      <c r="C426" s="7" t="s">
        <v>48</v>
      </c>
      <c r="D426" s="7" t="s">
        <v>1923</v>
      </c>
      <c r="E426" s="7" t="s">
        <v>1924</v>
      </c>
      <c r="F426" s="8"/>
      <c r="G426" s="60"/>
      <c r="H426" s="6" t="s">
        <v>1475</v>
      </c>
      <c r="I426" s="6" t="s">
        <v>27</v>
      </c>
      <c r="J426" s="6" t="s">
        <v>27</v>
      </c>
      <c r="K426" s="6" t="s">
        <v>27</v>
      </c>
      <c r="L426" s="6" t="s">
        <v>27</v>
      </c>
      <c r="M426" s="6" t="s">
        <v>27</v>
      </c>
      <c r="N426" s="6" t="s">
        <v>27</v>
      </c>
      <c r="O426" s="6" t="s">
        <v>27</v>
      </c>
      <c r="P426" s="6" t="s">
        <v>27</v>
      </c>
      <c r="Q426" s="6"/>
      <c r="R426" s="33">
        <f t="shared" si="11"/>
        <v>2025</v>
      </c>
      <c r="S426" s="33"/>
    </row>
    <row r="427" spans="1:19" ht="14.5" x14ac:dyDescent="0.35">
      <c r="A427" s="7" t="s">
        <v>1925</v>
      </c>
      <c r="B427" s="7" t="s">
        <v>163</v>
      </c>
      <c r="C427" s="7" t="s">
        <v>66</v>
      </c>
      <c r="D427" s="7" t="s">
        <v>1926</v>
      </c>
      <c r="E427" s="7" t="s">
        <v>1927</v>
      </c>
      <c r="F427" s="8"/>
      <c r="G427" s="60"/>
      <c r="H427" s="6" t="s">
        <v>1475</v>
      </c>
      <c r="I427" s="6" t="s">
        <v>27</v>
      </c>
      <c r="J427" s="6" t="s">
        <v>27</v>
      </c>
      <c r="K427" s="6" t="s">
        <v>27</v>
      </c>
      <c r="L427" s="6" t="s">
        <v>27</v>
      </c>
      <c r="M427" s="6" t="s">
        <v>27</v>
      </c>
      <c r="N427" s="6" t="s">
        <v>27</v>
      </c>
      <c r="O427" s="6" t="s">
        <v>27</v>
      </c>
      <c r="P427" s="6" t="s">
        <v>27</v>
      </c>
      <c r="Q427" s="6"/>
      <c r="R427" s="33">
        <f t="shared" si="11"/>
        <v>2025</v>
      </c>
      <c r="S427" s="33"/>
    </row>
    <row r="428" spans="1:19" ht="14.5" x14ac:dyDescent="0.35">
      <c r="A428" s="7" t="s">
        <v>1918</v>
      </c>
      <c r="B428" s="7" t="s">
        <v>1919</v>
      </c>
      <c r="C428" s="7" t="s">
        <v>48</v>
      </c>
      <c r="D428" s="7" t="s">
        <v>1513</v>
      </c>
      <c r="E428" s="7" t="s">
        <v>1928</v>
      </c>
      <c r="F428" s="8"/>
      <c r="G428" s="60"/>
      <c r="H428" s="6" t="s">
        <v>1475</v>
      </c>
      <c r="I428" s="6" t="s">
        <v>27</v>
      </c>
      <c r="J428" s="6" t="s">
        <v>27</v>
      </c>
      <c r="K428" s="6" t="s">
        <v>27</v>
      </c>
      <c r="L428" s="6" t="s">
        <v>27</v>
      </c>
      <c r="M428" s="6" t="s">
        <v>27</v>
      </c>
      <c r="N428" s="6" t="s">
        <v>27</v>
      </c>
      <c r="O428" s="6" t="s">
        <v>27</v>
      </c>
      <c r="P428" s="6" t="s">
        <v>27</v>
      </c>
      <c r="Q428" s="6"/>
      <c r="R428" s="33">
        <f t="shared" si="11"/>
        <v>2025</v>
      </c>
      <c r="S428" s="33"/>
    </row>
    <row r="429" spans="1:19" ht="14.5" x14ac:dyDescent="0.35">
      <c r="A429" s="7" t="s">
        <v>1929</v>
      </c>
      <c r="B429" s="7" t="s">
        <v>238</v>
      </c>
      <c r="C429" s="7" t="s">
        <v>42</v>
      </c>
      <c r="D429" s="7" t="s">
        <v>1930</v>
      </c>
      <c r="E429" s="7" t="s">
        <v>1931</v>
      </c>
      <c r="F429" s="8"/>
      <c r="G429" s="60"/>
      <c r="H429" s="6" t="s">
        <v>1475</v>
      </c>
      <c r="I429" s="6" t="s">
        <v>27</v>
      </c>
      <c r="J429" s="6" t="s">
        <v>27</v>
      </c>
      <c r="K429" s="6" t="s">
        <v>27</v>
      </c>
      <c r="L429" s="6" t="s">
        <v>27</v>
      </c>
      <c r="M429" s="6" t="s">
        <v>27</v>
      </c>
      <c r="N429" s="6" t="s">
        <v>27</v>
      </c>
      <c r="O429" s="6" t="s">
        <v>27</v>
      </c>
      <c r="P429" s="6" t="s">
        <v>27</v>
      </c>
      <c r="Q429" s="6"/>
      <c r="R429" s="33">
        <f t="shared" si="11"/>
        <v>2025</v>
      </c>
      <c r="S429" s="33"/>
    </row>
    <row r="430" spans="1:19" ht="14.5" x14ac:dyDescent="0.35">
      <c r="A430" s="7" t="s">
        <v>1932</v>
      </c>
      <c r="B430" s="7" t="s">
        <v>242</v>
      </c>
      <c r="C430" s="7" t="s">
        <v>48</v>
      </c>
      <c r="D430" s="7" t="s">
        <v>1625</v>
      </c>
      <c r="E430" s="7" t="s">
        <v>1814</v>
      </c>
      <c r="F430" s="8"/>
      <c r="G430" s="60"/>
      <c r="H430" s="6" t="s">
        <v>1475</v>
      </c>
      <c r="I430" s="6" t="s">
        <v>27</v>
      </c>
      <c r="J430" s="6" t="s">
        <v>27</v>
      </c>
      <c r="K430" s="6" t="s">
        <v>27</v>
      </c>
      <c r="L430" s="6" t="s">
        <v>27</v>
      </c>
      <c r="M430" s="6" t="s">
        <v>27</v>
      </c>
      <c r="N430" s="6" t="s">
        <v>27</v>
      </c>
      <c r="O430" s="6" t="s">
        <v>27</v>
      </c>
      <c r="P430" s="6" t="s">
        <v>27</v>
      </c>
      <c r="Q430" s="6"/>
      <c r="R430" s="33">
        <f t="shared" si="11"/>
        <v>2025</v>
      </c>
      <c r="S430" s="33"/>
    </row>
    <row r="431" spans="1:19" ht="14.5" x14ac:dyDescent="0.35">
      <c r="A431" s="7" t="s">
        <v>1933</v>
      </c>
      <c r="B431" s="7" t="s">
        <v>210</v>
      </c>
      <c r="C431" s="7" t="s">
        <v>82</v>
      </c>
      <c r="D431" s="7" t="s">
        <v>1851</v>
      </c>
      <c r="E431" s="7" t="s">
        <v>1810</v>
      </c>
      <c r="F431" s="8"/>
      <c r="G431" s="60"/>
      <c r="H431" s="6" t="s">
        <v>1475</v>
      </c>
      <c r="I431" s="6" t="s">
        <v>27</v>
      </c>
      <c r="J431" s="6" t="s">
        <v>27</v>
      </c>
      <c r="K431" s="6" t="s">
        <v>27</v>
      </c>
      <c r="L431" s="6" t="s">
        <v>27</v>
      </c>
      <c r="M431" s="6" t="s">
        <v>27</v>
      </c>
      <c r="N431" s="6" t="s">
        <v>27</v>
      </c>
      <c r="O431" s="6" t="s">
        <v>27</v>
      </c>
      <c r="P431" s="6" t="s">
        <v>27</v>
      </c>
      <c r="Q431" s="6"/>
      <c r="R431" s="33">
        <f t="shared" si="11"/>
        <v>2025</v>
      </c>
      <c r="S431" s="33"/>
    </row>
    <row r="432" spans="1:19" ht="14.5" x14ac:dyDescent="0.35">
      <c r="A432" s="7" t="s">
        <v>1934</v>
      </c>
      <c r="B432" s="7" t="s">
        <v>215</v>
      </c>
      <c r="C432" s="7" t="s">
        <v>61</v>
      </c>
      <c r="D432" s="7" t="s">
        <v>1848</v>
      </c>
      <c r="E432" s="7" t="s">
        <v>1020</v>
      </c>
      <c r="F432" s="8"/>
      <c r="G432" s="60"/>
      <c r="H432" s="6" t="s">
        <v>1475</v>
      </c>
      <c r="I432" s="6" t="s">
        <v>27</v>
      </c>
      <c r="J432" s="6" t="s">
        <v>27</v>
      </c>
      <c r="K432" s="6" t="s">
        <v>27</v>
      </c>
      <c r="L432" s="6" t="s">
        <v>27</v>
      </c>
      <c r="M432" s="6" t="s">
        <v>27</v>
      </c>
      <c r="N432" s="6" t="s">
        <v>27</v>
      </c>
      <c r="O432" s="6" t="s">
        <v>27</v>
      </c>
      <c r="P432" s="90" t="s">
        <v>27</v>
      </c>
      <c r="Q432" s="6"/>
      <c r="R432" s="33">
        <f t="shared" si="11"/>
        <v>2025</v>
      </c>
      <c r="S432" s="33"/>
    </row>
    <row r="433" spans="1:19" ht="14.5" x14ac:dyDescent="0.35">
      <c r="A433" s="7" t="s">
        <v>1934</v>
      </c>
      <c r="B433" s="7" t="s">
        <v>215</v>
      </c>
      <c r="C433" s="7" t="s">
        <v>61</v>
      </c>
      <c r="D433" s="7" t="s">
        <v>1848</v>
      </c>
      <c r="E433" s="7" t="s">
        <v>1850</v>
      </c>
      <c r="F433" s="8"/>
      <c r="G433" s="60"/>
      <c r="H433" s="6" t="s">
        <v>1475</v>
      </c>
      <c r="I433" s="6" t="s">
        <v>27</v>
      </c>
      <c r="J433" s="6" t="s">
        <v>27</v>
      </c>
      <c r="K433" s="6" t="s">
        <v>27</v>
      </c>
      <c r="L433" s="6" t="s">
        <v>27</v>
      </c>
      <c r="M433" s="6" t="s">
        <v>27</v>
      </c>
      <c r="N433" s="6" t="s">
        <v>27</v>
      </c>
      <c r="O433" s="6" t="s">
        <v>27</v>
      </c>
      <c r="P433" s="90" t="s">
        <v>27</v>
      </c>
      <c r="Q433" s="6"/>
      <c r="R433" s="33">
        <f t="shared" si="11"/>
        <v>2025</v>
      </c>
      <c r="S433" s="33"/>
    </row>
    <row r="434" spans="1:19" ht="14.5" x14ac:dyDescent="0.35">
      <c r="A434" s="7" t="s">
        <v>1934</v>
      </c>
      <c r="B434" s="7" t="s">
        <v>215</v>
      </c>
      <c r="C434" s="7" t="s">
        <v>61</v>
      </c>
      <c r="D434" s="7" t="s">
        <v>1935</v>
      </c>
      <c r="E434" s="7" t="s">
        <v>1936</v>
      </c>
      <c r="F434" s="8"/>
      <c r="G434" s="60"/>
      <c r="H434" s="6" t="s">
        <v>749</v>
      </c>
      <c r="I434" s="175"/>
      <c r="J434" s="175"/>
      <c r="K434" s="175"/>
      <c r="L434" s="175"/>
      <c r="M434" s="175"/>
      <c r="N434" s="175"/>
      <c r="O434" s="175"/>
      <c r="P434" s="175"/>
      <c r="Q434" s="6"/>
      <c r="R434" s="33">
        <f t="shared" si="11"/>
        <v>2025</v>
      </c>
      <c r="S434" s="33"/>
    </row>
    <row r="435" spans="1:19" ht="14.5" x14ac:dyDescent="0.35">
      <c r="A435" s="7" t="s">
        <v>1934</v>
      </c>
      <c r="B435" s="7" t="s">
        <v>215</v>
      </c>
      <c r="C435" s="7" t="s">
        <v>61</v>
      </c>
      <c r="D435" s="7" t="s">
        <v>1747</v>
      </c>
      <c r="E435" s="7" t="s">
        <v>1937</v>
      </c>
      <c r="F435" s="8"/>
      <c r="G435" s="60"/>
      <c r="H435" s="6" t="s">
        <v>1475</v>
      </c>
      <c r="I435" s="6" t="s">
        <v>27</v>
      </c>
      <c r="J435" s="6" t="s">
        <v>27</v>
      </c>
      <c r="K435" s="6" t="s">
        <v>27</v>
      </c>
      <c r="L435" s="6" t="s">
        <v>27</v>
      </c>
      <c r="M435" s="6" t="s">
        <v>27</v>
      </c>
      <c r="N435" s="6" t="s">
        <v>27</v>
      </c>
      <c r="O435" s="6" t="s">
        <v>27</v>
      </c>
      <c r="P435" s="90" t="s">
        <v>27</v>
      </c>
      <c r="Q435" s="6"/>
      <c r="R435" s="33">
        <f t="shared" si="11"/>
        <v>2025</v>
      </c>
      <c r="S435" s="33"/>
    </row>
    <row r="436" spans="1:19" ht="14.5" x14ac:dyDescent="0.35">
      <c r="A436" s="7" t="s">
        <v>1933</v>
      </c>
      <c r="B436" s="7" t="s">
        <v>210</v>
      </c>
      <c r="C436" s="7" t="s">
        <v>82</v>
      </c>
      <c r="D436" s="7" t="s">
        <v>1848</v>
      </c>
      <c r="E436" s="7" t="s">
        <v>1020</v>
      </c>
      <c r="F436" s="8"/>
      <c r="G436" s="60"/>
      <c r="H436" s="6" t="s">
        <v>1475</v>
      </c>
      <c r="I436" s="6" t="s">
        <v>27</v>
      </c>
      <c r="J436" s="6" t="s">
        <v>27</v>
      </c>
      <c r="K436" s="6" t="s">
        <v>27</v>
      </c>
      <c r="L436" s="6" t="s">
        <v>27</v>
      </c>
      <c r="M436" s="6" t="s">
        <v>27</v>
      </c>
      <c r="N436" s="6" t="s">
        <v>27</v>
      </c>
      <c r="O436" s="6" t="s">
        <v>27</v>
      </c>
      <c r="P436" s="6" t="s">
        <v>27</v>
      </c>
      <c r="Q436" s="6"/>
      <c r="R436" s="33">
        <f t="shared" si="11"/>
        <v>2025</v>
      </c>
      <c r="S436" s="33"/>
    </row>
    <row r="437" spans="1:19" ht="14.5" x14ac:dyDescent="0.35">
      <c r="A437" s="7" t="s">
        <v>1934</v>
      </c>
      <c r="B437" s="7" t="s">
        <v>215</v>
      </c>
      <c r="C437" s="7" t="s">
        <v>61</v>
      </c>
      <c r="D437" s="7" t="s">
        <v>1938</v>
      </c>
      <c r="E437" s="7" t="s">
        <v>1936</v>
      </c>
      <c r="F437" s="8"/>
      <c r="G437" s="60"/>
      <c r="H437" s="6" t="s">
        <v>1071</v>
      </c>
      <c r="I437" s="176" t="s">
        <v>28</v>
      </c>
      <c r="J437" s="6"/>
      <c r="K437" s="6"/>
      <c r="L437" s="6"/>
      <c r="M437" s="6"/>
      <c r="N437" s="6"/>
      <c r="O437" s="6"/>
      <c r="P437" s="6"/>
      <c r="Q437" s="6" t="s">
        <v>62</v>
      </c>
      <c r="R437" s="33">
        <f t="shared" si="11"/>
        <v>2025</v>
      </c>
      <c r="S437" s="33"/>
    </row>
    <row r="438" spans="1:19" ht="14.5" x14ac:dyDescent="0.35">
      <c r="A438" s="7" t="s">
        <v>1934</v>
      </c>
      <c r="B438" s="7" t="s">
        <v>215</v>
      </c>
      <c r="C438" s="7" t="s">
        <v>61</v>
      </c>
      <c r="D438" s="7" t="s">
        <v>1935</v>
      </c>
      <c r="E438" s="7" t="s">
        <v>1939</v>
      </c>
      <c r="F438" s="8"/>
      <c r="G438" s="60"/>
      <c r="H438" s="6" t="s">
        <v>1475</v>
      </c>
      <c r="I438" s="6" t="s">
        <v>27</v>
      </c>
      <c r="J438" s="6" t="s">
        <v>27</v>
      </c>
      <c r="K438" s="6" t="s">
        <v>27</v>
      </c>
      <c r="L438" s="6" t="s">
        <v>27</v>
      </c>
      <c r="M438" s="6" t="s">
        <v>27</v>
      </c>
      <c r="N438" s="6" t="s">
        <v>27</v>
      </c>
      <c r="O438" s="6" t="s">
        <v>27</v>
      </c>
      <c r="P438" s="6" t="s">
        <v>27</v>
      </c>
      <c r="Q438" s="6"/>
      <c r="R438" s="33">
        <f t="shared" si="11"/>
        <v>2025</v>
      </c>
      <c r="S438" s="33"/>
    </row>
    <row r="439" spans="1:19" ht="14.5" x14ac:dyDescent="0.35">
      <c r="A439" s="7" t="s">
        <v>1933</v>
      </c>
      <c r="B439" s="7" t="s">
        <v>210</v>
      </c>
      <c r="C439" s="7" t="s">
        <v>82</v>
      </c>
      <c r="D439" s="7" t="s">
        <v>1940</v>
      </c>
      <c r="E439" s="7" t="s">
        <v>1850</v>
      </c>
      <c r="F439" s="8"/>
      <c r="G439" s="60"/>
      <c r="H439" s="6" t="s">
        <v>1475</v>
      </c>
      <c r="I439" s="6" t="s">
        <v>27</v>
      </c>
      <c r="J439" s="6" t="s">
        <v>27</v>
      </c>
      <c r="K439" s="6" t="s">
        <v>27</v>
      </c>
      <c r="L439" s="6" t="s">
        <v>27</v>
      </c>
      <c r="M439" s="6" t="s">
        <v>27</v>
      </c>
      <c r="N439" s="6" t="s">
        <v>27</v>
      </c>
      <c r="O439" s="6" t="s">
        <v>27</v>
      </c>
      <c r="P439" s="6" t="s">
        <v>27</v>
      </c>
      <c r="Q439" s="6"/>
      <c r="R439" s="33">
        <f t="shared" si="11"/>
        <v>2025</v>
      </c>
      <c r="S439" s="33"/>
    </row>
    <row r="440" spans="1:19" ht="14.5" x14ac:dyDescent="0.35">
      <c r="A440" s="7" t="s">
        <v>1941</v>
      </c>
      <c r="B440" s="7" t="s">
        <v>1942</v>
      </c>
      <c r="C440" s="7" t="s">
        <v>61</v>
      </c>
      <c r="D440" s="7" t="s">
        <v>1497</v>
      </c>
      <c r="E440" s="7" t="s">
        <v>1666</v>
      </c>
      <c r="F440" s="8"/>
      <c r="G440" s="60"/>
      <c r="H440" s="6" t="s">
        <v>1475</v>
      </c>
      <c r="I440" s="6" t="s">
        <v>27</v>
      </c>
      <c r="J440" s="6" t="s">
        <v>27</v>
      </c>
      <c r="K440" s="6" t="s">
        <v>27</v>
      </c>
      <c r="L440" s="6" t="s">
        <v>27</v>
      </c>
      <c r="M440" s="6" t="s">
        <v>27</v>
      </c>
      <c r="N440" s="6" t="s">
        <v>27</v>
      </c>
      <c r="O440" s="6" t="s">
        <v>27</v>
      </c>
      <c r="P440" s="6" t="s">
        <v>27</v>
      </c>
      <c r="Q440" s="6"/>
      <c r="R440" s="33">
        <f t="shared" si="11"/>
        <v>2025</v>
      </c>
      <c r="S440" s="33"/>
    </row>
    <row r="441" spans="1:19" ht="14.5" x14ac:dyDescent="0.35">
      <c r="A441" s="7" t="s">
        <v>1943</v>
      </c>
      <c r="B441" s="7" t="s">
        <v>1944</v>
      </c>
      <c r="C441" s="7" t="s">
        <v>48</v>
      </c>
      <c r="D441" s="7" t="s">
        <v>1497</v>
      </c>
      <c r="E441" s="7" t="s">
        <v>1855</v>
      </c>
      <c r="F441" s="8"/>
      <c r="G441" s="60"/>
      <c r="H441" s="6" t="s">
        <v>1475</v>
      </c>
      <c r="I441" s="6" t="s">
        <v>27</v>
      </c>
      <c r="J441" s="6" t="s">
        <v>27</v>
      </c>
      <c r="K441" s="6" t="s">
        <v>27</v>
      </c>
      <c r="L441" s="6" t="s">
        <v>27</v>
      </c>
      <c r="M441" s="6" t="s">
        <v>27</v>
      </c>
      <c r="N441" s="6" t="s">
        <v>27</v>
      </c>
      <c r="O441" s="6" t="s">
        <v>27</v>
      </c>
      <c r="P441" s="6" t="s">
        <v>27</v>
      </c>
      <c r="Q441" s="6"/>
      <c r="R441" s="33">
        <f t="shared" si="11"/>
        <v>2025</v>
      </c>
      <c r="S441" s="33"/>
    </row>
    <row r="442" spans="1:19" ht="14.5" x14ac:dyDescent="0.35">
      <c r="A442" s="7" t="s">
        <v>1933</v>
      </c>
      <c r="B442" s="7" t="s">
        <v>210</v>
      </c>
      <c r="C442" s="7" t="s">
        <v>82</v>
      </c>
      <c r="D442" s="7" t="s">
        <v>1945</v>
      </c>
      <c r="E442" s="7" t="s">
        <v>1946</v>
      </c>
      <c r="F442" s="8"/>
      <c r="G442" s="60"/>
      <c r="H442" s="6" t="s">
        <v>1475</v>
      </c>
      <c r="I442" s="6" t="s">
        <v>27</v>
      </c>
      <c r="J442" s="6" t="s">
        <v>27</v>
      </c>
      <c r="K442" s="6" t="s">
        <v>27</v>
      </c>
      <c r="L442" s="6" t="s">
        <v>27</v>
      </c>
      <c r="M442" s="6" t="s">
        <v>27</v>
      </c>
      <c r="N442" s="6" t="s">
        <v>27</v>
      </c>
      <c r="O442" s="6" t="s">
        <v>27</v>
      </c>
      <c r="P442" s="6" t="s">
        <v>27</v>
      </c>
      <c r="Q442" s="6"/>
      <c r="R442" s="33">
        <f t="shared" si="11"/>
        <v>2025</v>
      </c>
      <c r="S442" s="33"/>
    </row>
    <row r="443" spans="1:19" ht="14.5" x14ac:dyDescent="0.35">
      <c r="A443" s="7" t="s">
        <v>1933</v>
      </c>
      <c r="B443" s="7" t="s">
        <v>210</v>
      </c>
      <c r="C443" s="7" t="s">
        <v>82</v>
      </c>
      <c r="D443" s="7" t="s">
        <v>1497</v>
      </c>
      <c r="E443" s="7" t="s">
        <v>1666</v>
      </c>
      <c r="F443" s="8"/>
      <c r="G443" s="60"/>
      <c r="H443" s="6" t="s">
        <v>1475</v>
      </c>
      <c r="I443" s="6" t="s">
        <v>27</v>
      </c>
      <c r="J443" s="6" t="s">
        <v>27</v>
      </c>
      <c r="K443" s="6" t="s">
        <v>27</v>
      </c>
      <c r="L443" s="6" t="s">
        <v>27</v>
      </c>
      <c r="M443" s="6" t="s">
        <v>27</v>
      </c>
      <c r="N443" s="6" t="s">
        <v>27</v>
      </c>
      <c r="O443" s="6" t="s">
        <v>27</v>
      </c>
      <c r="P443" s="6" t="s">
        <v>27</v>
      </c>
      <c r="Q443" s="6"/>
      <c r="R443" s="33">
        <f t="shared" si="11"/>
        <v>2025</v>
      </c>
      <c r="S443" s="33"/>
    </row>
    <row r="444" spans="1:19" ht="14.5" x14ac:dyDescent="0.35">
      <c r="A444" s="7" t="s">
        <v>1916</v>
      </c>
      <c r="B444" s="7" t="s">
        <v>176</v>
      </c>
      <c r="C444" s="7" t="s">
        <v>48</v>
      </c>
      <c r="D444" s="7" t="s">
        <v>1759</v>
      </c>
      <c r="E444" s="7" t="s">
        <v>1491</v>
      </c>
      <c r="F444" s="8"/>
      <c r="G444" s="60"/>
      <c r="H444" s="6" t="s">
        <v>1475</v>
      </c>
      <c r="I444" s="6" t="s">
        <v>27</v>
      </c>
      <c r="J444" s="6" t="s">
        <v>27</v>
      </c>
      <c r="K444" s="6" t="s">
        <v>27</v>
      </c>
      <c r="L444" s="6" t="s">
        <v>27</v>
      </c>
      <c r="M444" s="6" t="s">
        <v>27</v>
      </c>
      <c r="N444" s="6" t="s">
        <v>27</v>
      </c>
      <c r="O444" s="6" t="s">
        <v>27</v>
      </c>
      <c r="P444" s="6" t="s">
        <v>27</v>
      </c>
      <c r="Q444" s="6"/>
      <c r="R444" s="33">
        <f t="shared" si="11"/>
        <v>2025</v>
      </c>
      <c r="S444" s="33"/>
    </row>
    <row r="445" spans="1:19" ht="14.5" x14ac:dyDescent="0.35">
      <c r="A445" s="7" t="s">
        <v>1916</v>
      </c>
      <c r="B445" s="7" t="s">
        <v>176</v>
      </c>
      <c r="C445" s="7" t="s">
        <v>48</v>
      </c>
      <c r="D445" s="7" t="s">
        <v>1867</v>
      </c>
      <c r="E445" s="7" t="s">
        <v>1185</v>
      </c>
      <c r="F445" s="8"/>
      <c r="G445" s="60"/>
      <c r="H445" s="6" t="s">
        <v>1475</v>
      </c>
      <c r="I445" s="6" t="s">
        <v>27</v>
      </c>
      <c r="J445" s="6" t="s">
        <v>27</v>
      </c>
      <c r="K445" s="6" t="s">
        <v>27</v>
      </c>
      <c r="L445" s="6" t="s">
        <v>27</v>
      </c>
      <c r="M445" s="6" t="s">
        <v>27</v>
      </c>
      <c r="N445" s="6" t="s">
        <v>27</v>
      </c>
      <c r="O445" s="6" t="s">
        <v>27</v>
      </c>
      <c r="P445" s="6" t="s">
        <v>27</v>
      </c>
      <c r="Q445" s="6"/>
      <c r="R445" s="33">
        <f t="shared" ref="R445:R501" si="12">IFERROR(2000+VALUE(LEFT(A445,2)),"")</f>
        <v>2025</v>
      </c>
      <c r="S445" s="33"/>
    </row>
    <row r="446" spans="1:19" ht="14.5" x14ac:dyDescent="0.35">
      <c r="A446" s="7" t="s">
        <v>1916</v>
      </c>
      <c r="B446" s="7" t="s">
        <v>176</v>
      </c>
      <c r="C446" s="7" t="s">
        <v>48</v>
      </c>
      <c r="D446" s="7" t="s">
        <v>1907</v>
      </c>
      <c r="E446" s="7" t="s">
        <v>1763</v>
      </c>
      <c r="F446" s="8"/>
      <c r="G446" s="60"/>
      <c r="H446" s="6" t="s">
        <v>1475</v>
      </c>
      <c r="I446" s="6" t="s">
        <v>27</v>
      </c>
      <c r="J446" s="6" t="s">
        <v>27</v>
      </c>
      <c r="K446" s="6" t="s">
        <v>27</v>
      </c>
      <c r="L446" s="6" t="s">
        <v>27</v>
      </c>
      <c r="M446" s="6" t="s">
        <v>27</v>
      </c>
      <c r="N446" s="6" t="s">
        <v>27</v>
      </c>
      <c r="O446" s="6" t="s">
        <v>27</v>
      </c>
      <c r="P446" s="6" t="s">
        <v>27</v>
      </c>
      <c r="Q446" s="6"/>
      <c r="R446" s="33">
        <f t="shared" si="12"/>
        <v>2025</v>
      </c>
      <c r="S446" s="33"/>
    </row>
    <row r="447" spans="1:19" ht="14.5" x14ac:dyDescent="0.35">
      <c r="A447" s="7" t="s">
        <v>1916</v>
      </c>
      <c r="B447" s="7" t="s">
        <v>176</v>
      </c>
      <c r="C447" s="7" t="s">
        <v>48</v>
      </c>
      <c r="D447" s="7" t="s">
        <v>1806</v>
      </c>
      <c r="E447" s="7" t="s">
        <v>1790</v>
      </c>
      <c r="F447" s="8"/>
      <c r="G447" s="60"/>
      <c r="H447" s="6" t="s">
        <v>1475</v>
      </c>
      <c r="I447" s="6" t="s">
        <v>27</v>
      </c>
      <c r="J447" s="6" t="s">
        <v>27</v>
      </c>
      <c r="K447" s="6" t="s">
        <v>27</v>
      </c>
      <c r="L447" s="6" t="s">
        <v>27</v>
      </c>
      <c r="M447" s="6" t="s">
        <v>27</v>
      </c>
      <c r="N447" s="6" t="s">
        <v>27</v>
      </c>
      <c r="O447" s="6" t="s">
        <v>27</v>
      </c>
      <c r="P447" s="6" t="s">
        <v>27</v>
      </c>
      <c r="Q447" s="6"/>
      <c r="R447" s="33">
        <f t="shared" si="12"/>
        <v>2025</v>
      </c>
      <c r="S447" s="33"/>
    </row>
    <row r="448" spans="1:19" ht="14.5" x14ac:dyDescent="0.35">
      <c r="A448" s="7" t="s">
        <v>1916</v>
      </c>
      <c r="B448" s="7" t="s">
        <v>176</v>
      </c>
      <c r="C448" s="7" t="s">
        <v>48</v>
      </c>
      <c r="D448" s="7" t="s">
        <v>1876</v>
      </c>
      <c r="E448" s="7" t="s">
        <v>1796</v>
      </c>
      <c r="F448" s="8"/>
      <c r="G448" s="60"/>
      <c r="H448" s="6" t="s">
        <v>1475</v>
      </c>
      <c r="I448" s="6" t="s">
        <v>27</v>
      </c>
      <c r="J448" s="6" t="s">
        <v>27</v>
      </c>
      <c r="K448" s="6" t="s">
        <v>27</v>
      </c>
      <c r="L448" s="6" t="s">
        <v>27</v>
      </c>
      <c r="M448" s="6" t="s">
        <v>27</v>
      </c>
      <c r="N448" s="6" t="s">
        <v>27</v>
      </c>
      <c r="O448" s="6" t="s">
        <v>27</v>
      </c>
      <c r="P448" s="6" t="s">
        <v>27</v>
      </c>
      <c r="Q448" s="6"/>
      <c r="R448" s="33">
        <f t="shared" si="12"/>
        <v>2025</v>
      </c>
      <c r="S448" s="33"/>
    </row>
    <row r="449" spans="1:19" ht="14.5" x14ac:dyDescent="0.35">
      <c r="A449" s="7" t="s">
        <v>194</v>
      </c>
      <c r="B449" s="7" t="s">
        <v>198</v>
      </c>
      <c r="C449" s="7" t="s">
        <v>61</v>
      </c>
      <c r="D449" s="7" t="s">
        <v>1497</v>
      </c>
      <c r="E449" s="7" t="s">
        <v>1666</v>
      </c>
      <c r="F449" s="8"/>
      <c r="G449" s="60"/>
      <c r="H449" s="6" t="s">
        <v>1475</v>
      </c>
      <c r="I449" s="6" t="s">
        <v>27</v>
      </c>
      <c r="J449" s="6" t="s">
        <v>27</v>
      </c>
      <c r="K449" s="6" t="s">
        <v>27</v>
      </c>
      <c r="L449" s="6" t="s">
        <v>27</v>
      </c>
      <c r="M449" s="6" t="s">
        <v>27</v>
      </c>
      <c r="N449" s="6" t="s">
        <v>27</v>
      </c>
      <c r="O449" s="6" t="s">
        <v>27</v>
      </c>
      <c r="P449" s="6" t="s">
        <v>27</v>
      </c>
      <c r="Q449" s="6"/>
      <c r="R449" s="33">
        <f t="shared" si="12"/>
        <v>2025</v>
      </c>
      <c r="S449" s="33"/>
    </row>
    <row r="450" spans="1:19" ht="14.5" x14ac:dyDescent="0.35">
      <c r="A450" s="7" t="s">
        <v>1916</v>
      </c>
      <c r="B450" s="7" t="s">
        <v>176</v>
      </c>
      <c r="C450" s="7" t="s">
        <v>48</v>
      </c>
      <c r="D450" s="7" t="s">
        <v>1501</v>
      </c>
      <c r="E450" s="7" t="s">
        <v>1186</v>
      </c>
      <c r="F450" s="8"/>
      <c r="G450" s="60"/>
      <c r="H450" s="6" t="s">
        <v>1475</v>
      </c>
      <c r="I450" s="6" t="s">
        <v>27</v>
      </c>
      <c r="J450" s="6" t="s">
        <v>27</v>
      </c>
      <c r="K450" s="6" t="s">
        <v>27</v>
      </c>
      <c r="L450" s="6" t="s">
        <v>27</v>
      </c>
      <c r="M450" s="6" t="s">
        <v>27</v>
      </c>
      <c r="N450" s="6" t="s">
        <v>27</v>
      </c>
      <c r="O450" s="6" t="s">
        <v>27</v>
      </c>
      <c r="P450" s="6" t="s">
        <v>27</v>
      </c>
      <c r="Q450" s="6"/>
      <c r="R450" s="33">
        <f t="shared" si="12"/>
        <v>2025</v>
      </c>
      <c r="S450" s="33"/>
    </row>
    <row r="451" spans="1:19" ht="14.5" x14ac:dyDescent="0.35">
      <c r="A451" s="7" t="s">
        <v>1916</v>
      </c>
      <c r="B451" s="7" t="s">
        <v>176</v>
      </c>
      <c r="C451" s="7" t="s">
        <v>48</v>
      </c>
      <c r="D451" s="7" t="s">
        <v>1920</v>
      </c>
      <c r="E451" s="7" t="s">
        <v>1020</v>
      </c>
      <c r="F451" s="8"/>
      <c r="G451" s="60"/>
      <c r="H451" s="6" t="s">
        <v>1475</v>
      </c>
      <c r="I451" s="6" t="s">
        <v>27</v>
      </c>
      <c r="J451" s="6" t="s">
        <v>27</v>
      </c>
      <c r="K451" s="6" t="s">
        <v>27</v>
      </c>
      <c r="L451" s="6" t="s">
        <v>27</v>
      </c>
      <c r="M451" s="6" t="s">
        <v>27</v>
      </c>
      <c r="N451" s="6" t="s">
        <v>27</v>
      </c>
      <c r="O451" s="6" t="s">
        <v>27</v>
      </c>
      <c r="P451" s="6" t="s">
        <v>27</v>
      </c>
      <c r="Q451" s="6"/>
      <c r="R451" s="33">
        <f t="shared" si="12"/>
        <v>2025</v>
      </c>
      <c r="S451" s="33"/>
    </row>
    <row r="452" spans="1:19" ht="14.5" x14ac:dyDescent="0.35">
      <c r="A452" s="7" t="s">
        <v>177</v>
      </c>
      <c r="B452" s="7" t="s">
        <v>1947</v>
      </c>
      <c r="C452" s="7" t="s">
        <v>48</v>
      </c>
      <c r="D452" s="7" t="s">
        <v>1497</v>
      </c>
      <c r="E452" s="7" t="s">
        <v>1666</v>
      </c>
      <c r="F452" s="8"/>
      <c r="G452" s="60"/>
      <c r="H452" s="6" t="s">
        <v>1475</v>
      </c>
      <c r="I452" s="6" t="s">
        <v>27</v>
      </c>
      <c r="J452" s="6" t="s">
        <v>27</v>
      </c>
      <c r="K452" s="6" t="s">
        <v>27</v>
      </c>
      <c r="L452" s="6" t="s">
        <v>27</v>
      </c>
      <c r="M452" s="6" t="s">
        <v>27</v>
      </c>
      <c r="N452" s="6" t="s">
        <v>27</v>
      </c>
      <c r="O452" s="6" t="s">
        <v>27</v>
      </c>
      <c r="P452" s="6" t="s">
        <v>27</v>
      </c>
      <c r="Q452" s="6"/>
      <c r="R452" s="33">
        <f t="shared" si="12"/>
        <v>2025</v>
      </c>
      <c r="S452" s="33"/>
    </row>
    <row r="453" spans="1:19" ht="14.5" x14ac:dyDescent="0.35">
      <c r="A453" s="7" t="s">
        <v>1934</v>
      </c>
      <c r="B453" s="7" t="s">
        <v>215</v>
      </c>
      <c r="C453" s="7" t="s">
        <v>61</v>
      </c>
      <c r="D453" s="7" t="s">
        <v>1497</v>
      </c>
      <c r="E453" s="7" t="s">
        <v>1908</v>
      </c>
      <c r="F453" s="8"/>
      <c r="G453" s="60"/>
      <c r="H453" s="6" t="s">
        <v>1475</v>
      </c>
      <c r="I453" s="6" t="s">
        <v>27</v>
      </c>
      <c r="J453" s="6" t="s">
        <v>27</v>
      </c>
      <c r="K453" s="6" t="s">
        <v>27</v>
      </c>
      <c r="L453" s="6" t="s">
        <v>27</v>
      </c>
      <c r="M453" s="6" t="s">
        <v>27</v>
      </c>
      <c r="N453" s="6" t="s">
        <v>27</v>
      </c>
      <c r="O453" s="6" t="s">
        <v>27</v>
      </c>
      <c r="P453" s="6" t="s">
        <v>27</v>
      </c>
      <c r="Q453" s="6"/>
      <c r="R453" s="33">
        <f t="shared" si="12"/>
        <v>2025</v>
      </c>
      <c r="S453" s="33"/>
    </row>
    <row r="454" spans="1:19" ht="14.5" x14ac:dyDescent="0.35">
      <c r="A454" s="7" t="s">
        <v>1948</v>
      </c>
      <c r="B454" s="7" t="s">
        <v>1448</v>
      </c>
      <c r="C454" s="7" t="s">
        <v>23</v>
      </c>
      <c r="D454" s="7" t="s">
        <v>1867</v>
      </c>
      <c r="E454" s="7" t="s">
        <v>1185</v>
      </c>
      <c r="F454" s="8"/>
      <c r="G454" s="60"/>
      <c r="H454" s="6" t="s">
        <v>1949</v>
      </c>
      <c r="I454" s="176" t="s">
        <v>28</v>
      </c>
      <c r="J454" s="6"/>
      <c r="K454" s="6"/>
      <c r="L454" s="6"/>
      <c r="M454" s="6"/>
      <c r="N454" s="6"/>
      <c r="O454" s="6"/>
      <c r="P454" s="6"/>
      <c r="Q454" s="177" t="s">
        <v>1950</v>
      </c>
      <c r="R454" s="33">
        <f t="shared" si="12"/>
        <v>2025</v>
      </c>
      <c r="S454" s="36"/>
    </row>
    <row r="455" spans="1:19" ht="14.5" x14ac:dyDescent="0.35">
      <c r="A455" s="7" t="s">
        <v>153</v>
      </c>
      <c r="B455" s="7" t="s">
        <v>1951</v>
      </c>
      <c r="C455" s="7" t="s">
        <v>100</v>
      </c>
      <c r="D455" s="7" t="s">
        <v>1952</v>
      </c>
      <c r="E455" s="7" t="s">
        <v>1953</v>
      </c>
      <c r="F455" s="8"/>
      <c r="G455" s="60"/>
      <c r="H455" s="6" t="s">
        <v>1071</v>
      </c>
      <c r="I455" s="176" t="s">
        <v>28</v>
      </c>
      <c r="J455" s="6"/>
      <c r="K455" s="6"/>
      <c r="L455" s="6"/>
      <c r="M455" s="6"/>
      <c r="N455" s="6"/>
      <c r="O455" s="6"/>
      <c r="P455" s="6"/>
      <c r="Q455" s="177" t="s">
        <v>1071</v>
      </c>
      <c r="R455" s="33">
        <f t="shared" si="12"/>
        <v>2025</v>
      </c>
      <c r="S455" s="33"/>
    </row>
    <row r="456" spans="1:19" ht="14.5" x14ac:dyDescent="0.35">
      <c r="A456" s="7" t="s">
        <v>199</v>
      </c>
      <c r="B456" s="7" t="s">
        <v>200</v>
      </c>
      <c r="C456" s="7" t="s">
        <v>61</v>
      </c>
      <c r="D456" s="7" t="s">
        <v>1497</v>
      </c>
      <c r="E456" s="7" t="s">
        <v>1908</v>
      </c>
      <c r="F456" s="8"/>
      <c r="G456" s="60"/>
      <c r="H456" s="6" t="s">
        <v>1475</v>
      </c>
      <c r="I456" s="6" t="s">
        <v>27</v>
      </c>
      <c r="J456" s="6" t="s">
        <v>27</v>
      </c>
      <c r="K456" s="6" t="s">
        <v>27</v>
      </c>
      <c r="L456" s="6" t="s">
        <v>27</v>
      </c>
      <c r="M456" s="6" t="s">
        <v>27</v>
      </c>
      <c r="N456" s="6" t="s">
        <v>27</v>
      </c>
      <c r="O456" s="6" t="s">
        <v>27</v>
      </c>
      <c r="P456" s="6" t="s">
        <v>27</v>
      </c>
      <c r="Q456" s="6"/>
      <c r="R456" s="33">
        <f t="shared" si="12"/>
        <v>2025</v>
      </c>
      <c r="S456" s="33"/>
    </row>
    <row r="457" spans="1:19" ht="14.5" x14ac:dyDescent="0.35">
      <c r="A457" s="7" t="s">
        <v>194</v>
      </c>
      <c r="B457" s="7" t="s">
        <v>198</v>
      </c>
      <c r="C457" s="7" t="s">
        <v>61</v>
      </c>
      <c r="D457" s="7" t="s">
        <v>1954</v>
      </c>
      <c r="E457" s="7" t="s">
        <v>1955</v>
      </c>
      <c r="F457" s="8"/>
      <c r="G457" s="60"/>
      <c r="H457" s="6" t="s">
        <v>1475</v>
      </c>
      <c r="I457" s="6" t="s">
        <v>27</v>
      </c>
      <c r="J457" s="6" t="s">
        <v>27</v>
      </c>
      <c r="K457" s="6" t="s">
        <v>27</v>
      </c>
      <c r="L457" s="6" t="s">
        <v>27</v>
      </c>
      <c r="M457" s="6" t="s">
        <v>27</v>
      </c>
      <c r="N457" s="6" t="s">
        <v>27</v>
      </c>
      <c r="O457" s="6" t="s">
        <v>27</v>
      </c>
      <c r="P457" s="6" t="s">
        <v>27</v>
      </c>
      <c r="Q457" s="6"/>
      <c r="R457" s="33">
        <f t="shared" si="12"/>
        <v>2025</v>
      </c>
      <c r="S457" s="33"/>
    </row>
    <row r="458" spans="1:19" ht="14.5" x14ac:dyDescent="0.35">
      <c r="A458" s="7" t="s">
        <v>1948</v>
      </c>
      <c r="B458" s="7" t="s">
        <v>1448</v>
      </c>
      <c r="C458" s="7" t="s">
        <v>23</v>
      </c>
      <c r="D458" s="7" t="s">
        <v>1693</v>
      </c>
      <c r="E458" s="7" t="s">
        <v>1956</v>
      </c>
      <c r="F458" s="8"/>
      <c r="G458" s="60"/>
      <c r="H458" s="6" t="s">
        <v>1949</v>
      </c>
      <c r="I458" s="176" t="s">
        <v>28</v>
      </c>
      <c r="J458" s="6"/>
      <c r="K458" s="6"/>
      <c r="L458" s="6"/>
      <c r="M458" s="6"/>
      <c r="N458" s="6"/>
      <c r="O458" s="6"/>
      <c r="P458" s="6"/>
      <c r="Q458" s="177" t="s">
        <v>1950</v>
      </c>
      <c r="R458" s="33">
        <f t="shared" si="12"/>
        <v>2025</v>
      </c>
      <c r="S458" s="36"/>
    </row>
    <row r="459" spans="1:19" ht="14.5" x14ac:dyDescent="0.35">
      <c r="A459" s="7" t="s">
        <v>1948</v>
      </c>
      <c r="B459" s="7" t="s">
        <v>1448</v>
      </c>
      <c r="C459" s="7" t="s">
        <v>23</v>
      </c>
      <c r="D459" s="7" t="s">
        <v>1693</v>
      </c>
      <c r="E459" s="7" t="s">
        <v>1504</v>
      </c>
      <c r="F459" s="8"/>
      <c r="G459" s="60"/>
      <c r="H459" s="6" t="s">
        <v>1055</v>
      </c>
      <c r="I459" s="176" t="s">
        <v>28</v>
      </c>
      <c r="J459" s="6"/>
      <c r="K459" s="6"/>
      <c r="L459" s="6"/>
      <c r="M459" s="6"/>
      <c r="N459" s="6"/>
      <c r="O459" s="6"/>
      <c r="P459" s="6"/>
      <c r="Q459" s="177" t="s">
        <v>1950</v>
      </c>
      <c r="R459" s="33">
        <f t="shared" si="12"/>
        <v>2025</v>
      </c>
      <c r="S459" s="36"/>
    </row>
    <row r="460" spans="1:19" ht="14.5" x14ac:dyDescent="0.35">
      <c r="A460" s="7" t="s">
        <v>1957</v>
      </c>
      <c r="B460" s="7" t="s">
        <v>163</v>
      </c>
      <c r="C460" s="7" t="s">
        <v>66</v>
      </c>
      <c r="D460" s="7" t="s">
        <v>1958</v>
      </c>
      <c r="E460" s="7" t="s">
        <v>1494</v>
      </c>
      <c r="F460" s="8"/>
      <c r="G460" s="60"/>
      <c r="H460" s="6" t="s">
        <v>1475</v>
      </c>
      <c r="I460" s="6" t="s">
        <v>27</v>
      </c>
      <c r="J460" s="6" t="s">
        <v>27</v>
      </c>
      <c r="K460" s="6" t="s">
        <v>27</v>
      </c>
      <c r="L460" s="6" t="s">
        <v>27</v>
      </c>
      <c r="M460" s="6" t="s">
        <v>27</v>
      </c>
      <c r="N460" s="6" t="s">
        <v>27</v>
      </c>
      <c r="O460" s="6" t="s">
        <v>27</v>
      </c>
      <c r="P460" s="6" t="s">
        <v>27</v>
      </c>
      <c r="Q460" s="6"/>
      <c r="R460" s="33">
        <f t="shared" si="12"/>
        <v>2025</v>
      </c>
      <c r="S460" s="33"/>
    </row>
    <row r="461" spans="1:19" ht="14.5" x14ac:dyDescent="0.35">
      <c r="A461" s="7" t="s">
        <v>1934</v>
      </c>
      <c r="B461" s="7" t="s">
        <v>215</v>
      </c>
      <c r="C461" s="7" t="s">
        <v>61</v>
      </c>
      <c r="D461" s="7" t="s">
        <v>1867</v>
      </c>
      <c r="E461" s="7" t="s">
        <v>1959</v>
      </c>
      <c r="F461" s="8"/>
      <c r="G461" s="60"/>
      <c r="H461" s="6" t="s">
        <v>1475</v>
      </c>
      <c r="I461" s="6" t="s">
        <v>27</v>
      </c>
      <c r="J461" s="6" t="s">
        <v>27</v>
      </c>
      <c r="K461" s="6" t="s">
        <v>27</v>
      </c>
      <c r="L461" s="6" t="s">
        <v>27</v>
      </c>
      <c r="M461" s="6" t="s">
        <v>27</v>
      </c>
      <c r="N461" s="6" t="s">
        <v>27</v>
      </c>
      <c r="O461" s="6" t="s">
        <v>27</v>
      </c>
      <c r="P461" s="6" t="s">
        <v>27</v>
      </c>
      <c r="Q461" s="6"/>
      <c r="R461" s="33">
        <f t="shared" si="12"/>
        <v>2025</v>
      </c>
      <c r="S461" s="33"/>
    </row>
    <row r="462" spans="1:19" ht="14.5" x14ac:dyDescent="0.35">
      <c r="A462" s="7" t="s">
        <v>1916</v>
      </c>
      <c r="B462" s="7" t="s">
        <v>176</v>
      </c>
      <c r="C462" s="7" t="s">
        <v>48</v>
      </c>
      <c r="D462" s="7" t="s">
        <v>1513</v>
      </c>
      <c r="E462" s="7" t="s">
        <v>1928</v>
      </c>
      <c r="F462" s="7"/>
      <c r="G462" s="60"/>
      <c r="H462" s="6" t="s">
        <v>1960</v>
      </c>
      <c r="I462" s="6" t="s">
        <v>27</v>
      </c>
      <c r="J462" s="178" t="s">
        <v>28</v>
      </c>
      <c r="K462" s="6"/>
      <c r="L462" s="6"/>
      <c r="M462" s="6"/>
      <c r="N462" s="6"/>
      <c r="O462" s="6"/>
      <c r="P462" s="6"/>
      <c r="Q462" s="6" t="s">
        <v>1961</v>
      </c>
      <c r="R462" s="33">
        <f t="shared" si="12"/>
        <v>2025</v>
      </c>
      <c r="S462" s="33"/>
    </row>
    <row r="463" spans="1:19" ht="14.5" x14ac:dyDescent="0.35">
      <c r="A463" s="7" t="s">
        <v>1916</v>
      </c>
      <c r="B463" s="7" t="s">
        <v>176</v>
      </c>
      <c r="C463" s="7" t="s">
        <v>48</v>
      </c>
      <c r="D463" s="7" t="s">
        <v>1693</v>
      </c>
      <c r="E463" s="7" t="s">
        <v>1124</v>
      </c>
      <c r="F463" s="8"/>
      <c r="G463" s="60"/>
      <c r="H463" s="6" t="s">
        <v>1475</v>
      </c>
      <c r="I463" s="6" t="s">
        <v>27</v>
      </c>
      <c r="J463" s="6" t="s">
        <v>27</v>
      </c>
      <c r="K463" s="6" t="s">
        <v>27</v>
      </c>
      <c r="L463" s="6" t="s">
        <v>27</v>
      </c>
      <c r="M463" s="6" t="s">
        <v>27</v>
      </c>
      <c r="N463" s="6" t="s">
        <v>27</v>
      </c>
      <c r="O463" s="6" t="s">
        <v>27</v>
      </c>
      <c r="P463" s="6" t="s">
        <v>27</v>
      </c>
      <c r="Q463" s="6" t="s">
        <v>1962</v>
      </c>
      <c r="R463" s="33">
        <f t="shared" si="12"/>
        <v>2025</v>
      </c>
      <c r="S463" s="33"/>
    </row>
    <row r="464" spans="1:19" ht="14.5" x14ac:dyDescent="0.35">
      <c r="A464" s="7" t="s">
        <v>1963</v>
      </c>
      <c r="B464" s="7" t="s">
        <v>210</v>
      </c>
      <c r="C464" s="7" t="s">
        <v>82</v>
      </c>
      <c r="D464" s="7" t="s">
        <v>1954</v>
      </c>
      <c r="E464" s="7" t="s">
        <v>1955</v>
      </c>
      <c r="F464" s="8"/>
      <c r="G464" s="60"/>
      <c r="H464" s="6" t="s">
        <v>1475</v>
      </c>
      <c r="I464" s="6" t="s">
        <v>27</v>
      </c>
      <c r="J464" s="6" t="s">
        <v>27</v>
      </c>
      <c r="K464" s="6" t="s">
        <v>27</v>
      </c>
      <c r="L464" s="6" t="s">
        <v>27</v>
      </c>
      <c r="M464" s="6" t="s">
        <v>27</v>
      </c>
      <c r="N464" s="6" t="s">
        <v>27</v>
      </c>
      <c r="O464" s="6" t="s">
        <v>27</v>
      </c>
      <c r="P464" s="6" t="s">
        <v>27</v>
      </c>
      <c r="Q464" s="6"/>
      <c r="R464" s="33">
        <f t="shared" si="12"/>
        <v>2025</v>
      </c>
      <c r="S464" s="33"/>
    </row>
    <row r="465" spans="1:19" ht="14.5" x14ac:dyDescent="0.35">
      <c r="A465" s="7" t="s">
        <v>1964</v>
      </c>
      <c r="B465" s="7" t="s">
        <v>1965</v>
      </c>
      <c r="C465" s="7" t="s">
        <v>1756</v>
      </c>
      <c r="D465" s="7" t="s">
        <v>1710</v>
      </c>
      <c r="E465" s="7" t="s">
        <v>1775</v>
      </c>
      <c r="F465" s="8"/>
      <c r="G465" s="60"/>
      <c r="H465" s="6" t="s">
        <v>1475</v>
      </c>
      <c r="I465" s="6" t="s">
        <v>27</v>
      </c>
      <c r="J465" s="6" t="s">
        <v>27</v>
      </c>
      <c r="K465" s="6" t="s">
        <v>27</v>
      </c>
      <c r="L465" s="6" t="s">
        <v>27</v>
      </c>
      <c r="M465" s="6" t="s">
        <v>27</v>
      </c>
      <c r="N465" s="6" t="s">
        <v>27</v>
      </c>
      <c r="O465" s="6" t="s">
        <v>27</v>
      </c>
      <c r="P465" s="6" t="s">
        <v>27</v>
      </c>
      <c r="Q465" s="6"/>
      <c r="R465" s="33">
        <f t="shared" si="12"/>
        <v>2025</v>
      </c>
      <c r="S465" s="33"/>
    </row>
    <row r="466" spans="1:19" ht="14.5" x14ac:dyDescent="0.35">
      <c r="A466" s="7" t="s">
        <v>1966</v>
      </c>
      <c r="B466" s="7" t="s">
        <v>1967</v>
      </c>
      <c r="C466" s="7" t="s">
        <v>1756</v>
      </c>
      <c r="D466" s="8" t="s">
        <v>1710</v>
      </c>
      <c r="E466" s="7" t="s">
        <v>1775</v>
      </c>
      <c r="F466" s="8"/>
      <c r="G466" s="60"/>
      <c r="H466" s="6" t="s">
        <v>1475</v>
      </c>
      <c r="I466" s="6" t="s">
        <v>27</v>
      </c>
      <c r="J466" s="6" t="s">
        <v>27</v>
      </c>
      <c r="K466" s="6" t="s">
        <v>27</v>
      </c>
      <c r="L466" s="6" t="s">
        <v>27</v>
      </c>
      <c r="M466" s="6" t="s">
        <v>27</v>
      </c>
      <c r="N466" s="6" t="s">
        <v>27</v>
      </c>
      <c r="O466" s="6" t="s">
        <v>27</v>
      </c>
      <c r="P466" s="6" t="s">
        <v>27</v>
      </c>
      <c r="Q466" s="6"/>
      <c r="R466" s="33">
        <f t="shared" si="12"/>
        <v>2025</v>
      </c>
      <c r="S466" s="33"/>
    </row>
    <row r="467" spans="1:19" ht="14.5" x14ac:dyDescent="0.35">
      <c r="A467" s="7" t="s">
        <v>1964</v>
      </c>
      <c r="B467" s="7" t="s">
        <v>1965</v>
      </c>
      <c r="C467" s="7" t="s">
        <v>1756</v>
      </c>
      <c r="D467" s="8" t="s">
        <v>1584</v>
      </c>
      <c r="E467" s="7" t="s">
        <v>1968</v>
      </c>
      <c r="F467" s="8"/>
      <c r="G467" s="60"/>
      <c r="H467" s="6" t="s">
        <v>1475</v>
      </c>
      <c r="I467" s="6" t="s">
        <v>27</v>
      </c>
      <c r="J467" s="6" t="s">
        <v>27</v>
      </c>
      <c r="K467" s="6" t="s">
        <v>27</v>
      </c>
      <c r="L467" s="6" t="s">
        <v>27</v>
      </c>
      <c r="M467" s="6" t="s">
        <v>27</v>
      </c>
      <c r="N467" s="6" t="s">
        <v>27</v>
      </c>
      <c r="O467" s="6" t="s">
        <v>27</v>
      </c>
      <c r="P467" s="6" t="s">
        <v>27</v>
      </c>
      <c r="Q467" s="6"/>
      <c r="R467" s="33">
        <f t="shared" si="12"/>
        <v>2025</v>
      </c>
      <c r="S467" s="33"/>
    </row>
    <row r="468" spans="1:19" ht="14.5" x14ac:dyDescent="0.35">
      <c r="A468" s="7" t="s">
        <v>1966</v>
      </c>
      <c r="B468" s="7" t="s">
        <v>1967</v>
      </c>
      <c r="C468" s="7" t="s">
        <v>1756</v>
      </c>
      <c r="D468" s="8" t="s">
        <v>1584</v>
      </c>
      <c r="E468" s="7" t="s">
        <v>1968</v>
      </c>
      <c r="F468" s="8"/>
      <c r="G468" s="60"/>
      <c r="H468" s="6" t="s">
        <v>1475</v>
      </c>
      <c r="I468" s="6" t="s">
        <v>27</v>
      </c>
      <c r="J468" s="6" t="s">
        <v>27</v>
      </c>
      <c r="K468" s="6" t="s">
        <v>27</v>
      </c>
      <c r="L468" s="6" t="s">
        <v>27</v>
      </c>
      <c r="M468" s="6" t="s">
        <v>27</v>
      </c>
      <c r="N468" s="6" t="s">
        <v>27</v>
      </c>
      <c r="O468" s="6" t="s">
        <v>27</v>
      </c>
      <c r="P468" s="6" t="s">
        <v>27</v>
      </c>
      <c r="Q468" s="6"/>
      <c r="R468" s="33">
        <f t="shared" si="12"/>
        <v>2025</v>
      </c>
      <c r="S468" s="33"/>
    </row>
    <row r="469" spans="1:19" ht="14.5" x14ac:dyDescent="0.35">
      <c r="A469" s="7" t="s">
        <v>1916</v>
      </c>
      <c r="B469" s="7" t="s">
        <v>176</v>
      </c>
      <c r="C469" s="7" t="s">
        <v>48</v>
      </c>
      <c r="D469" s="8" t="s">
        <v>1921</v>
      </c>
      <c r="E469" s="7" t="s">
        <v>1922</v>
      </c>
      <c r="F469" s="8"/>
      <c r="G469" s="60"/>
      <c r="H469" s="6" t="s">
        <v>1475</v>
      </c>
      <c r="I469" s="6" t="s">
        <v>27</v>
      </c>
      <c r="J469" s="6" t="s">
        <v>27</v>
      </c>
      <c r="K469" s="6" t="s">
        <v>27</v>
      </c>
      <c r="L469" s="6" t="s">
        <v>27</v>
      </c>
      <c r="M469" s="6" t="s">
        <v>27</v>
      </c>
      <c r="N469" s="6" t="s">
        <v>27</v>
      </c>
      <c r="O469" s="6" t="s">
        <v>27</v>
      </c>
      <c r="P469" s="6" t="s">
        <v>27</v>
      </c>
      <c r="Q469" s="6"/>
      <c r="R469" s="33">
        <f t="shared" si="12"/>
        <v>2025</v>
      </c>
      <c r="S469" s="33"/>
    </row>
    <row r="470" spans="1:19" ht="14.5" x14ac:dyDescent="0.35">
      <c r="A470" s="7" t="s">
        <v>1918</v>
      </c>
      <c r="B470" s="7" t="s">
        <v>1919</v>
      </c>
      <c r="C470" s="7" t="s">
        <v>48</v>
      </c>
      <c r="D470" s="8" t="s">
        <v>1876</v>
      </c>
      <c r="E470" s="7" t="s">
        <v>1969</v>
      </c>
      <c r="F470" s="8"/>
      <c r="G470" s="60"/>
      <c r="H470" s="6" t="s">
        <v>749</v>
      </c>
      <c r="I470" s="175"/>
      <c r="J470" s="175"/>
      <c r="K470" s="175"/>
      <c r="L470" s="175"/>
      <c r="M470" s="175"/>
      <c r="N470" s="175"/>
      <c r="O470" s="175"/>
      <c r="P470" s="175"/>
      <c r="Q470" s="6" t="s">
        <v>1970</v>
      </c>
      <c r="R470" s="33">
        <f t="shared" si="12"/>
        <v>2025</v>
      </c>
      <c r="S470" s="33"/>
    </row>
    <row r="471" spans="1:19" ht="14.5" x14ac:dyDescent="0.35">
      <c r="A471" s="9" t="s">
        <v>98</v>
      </c>
      <c r="B471" s="9" t="s">
        <v>1971</v>
      </c>
      <c r="C471" s="7" t="s">
        <v>100</v>
      </c>
      <c r="D471" s="29" t="s">
        <v>1972</v>
      </c>
      <c r="E471" s="9" t="s">
        <v>1020</v>
      </c>
      <c r="F471" s="29"/>
      <c r="G471" s="61"/>
      <c r="H471" s="37" t="s">
        <v>1475</v>
      </c>
      <c r="I471" s="6" t="s">
        <v>27</v>
      </c>
      <c r="J471" s="6" t="s">
        <v>27</v>
      </c>
      <c r="K471" s="6" t="s">
        <v>27</v>
      </c>
      <c r="L471" s="6" t="s">
        <v>27</v>
      </c>
      <c r="M471" s="6" t="s">
        <v>27</v>
      </c>
      <c r="N471" s="6" t="s">
        <v>27</v>
      </c>
      <c r="O471" s="6" t="s">
        <v>27</v>
      </c>
      <c r="P471" s="90" t="s">
        <v>27</v>
      </c>
      <c r="Q471" s="6" t="s">
        <v>62</v>
      </c>
      <c r="R471" s="33">
        <f t="shared" si="12"/>
        <v>2026</v>
      </c>
      <c r="S471" s="33"/>
    </row>
    <row r="472" spans="1:19" ht="14.5" x14ac:dyDescent="0.35">
      <c r="A472" s="48" t="s">
        <v>454</v>
      </c>
      <c r="B472" s="7" t="s">
        <v>455</v>
      </c>
      <c r="C472" s="39" t="s">
        <v>37</v>
      </c>
      <c r="D472" s="8" t="s">
        <v>1969</v>
      </c>
      <c r="E472" s="56" t="s">
        <v>1973</v>
      </c>
      <c r="F472" s="49"/>
      <c r="G472" s="62"/>
      <c r="H472" s="20" t="s">
        <v>1475</v>
      </c>
      <c r="I472" s="6" t="s">
        <v>27</v>
      </c>
      <c r="J472" s="6" t="s">
        <v>27</v>
      </c>
      <c r="K472" s="6" t="s">
        <v>27</v>
      </c>
      <c r="L472" s="6" t="s">
        <v>27</v>
      </c>
      <c r="M472" s="6" t="s">
        <v>27</v>
      </c>
      <c r="N472" s="6" t="s">
        <v>27</v>
      </c>
      <c r="O472" s="6" t="s">
        <v>27</v>
      </c>
      <c r="P472" s="178" t="s">
        <v>28</v>
      </c>
      <c r="Q472" s="6"/>
      <c r="R472" s="33">
        <f t="shared" si="12"/>
        <v>2023</v>
      </c>
      <c r="S472" s="33"/>
    </row>
    <row r="473" spans="1:19" ht="14.5" x14ac:dyDescent="0.35">
      <c r="A473" s="50" t="s">
        <v>1114</v>
      </c>
      <c r="B473" s="30" t="s">
        <v>426</v>
      </c>
      <c r="C473" s="51" t="s">
        <v>37</v>
      </c>
      <c r="D473" s="54" t="s">
        <v>1697</v>
      </c>
      <c r="E473" s="57" t="s">
        <v>1974</v>
      </c>
      <c r="F473" s="52"/>
      <c r="G473" s="63"/>
      <c r="H473" s="20" t="s">
        <v>1516</v>
      </c>
      <c r="I473" s="6" t="s">
        <v>27</v>
      </c>
      <c r="J473" s="6" t="s">
        <v>27</v>
      </c>
      <c r="K473" s="6" t="s">
        <v>27</v>
      </c>
      <c r="L473" s="6" t="s">
        <v>27</v>
      </c>
      <c r="M473" s="6"/>
      <c r="N473" s="6"/>
      <c r="O473" s="6"/>
      <c r="P473" s="6"/>
      <c r="Q473" s="6" t="s">
        <v>1975</v>
      </c>
      <c r="R473" s="33">
        <f t="shared" si="12"/>
        <v>2023</v>
      </c>
      <c r="S473" s="33"/>
    </row>
    <row r="474" spans="1:19" ht="14.5" x14ac:dyDescent="0.35">
      <c r="A474" s="43" t="s">
        <v>1862</v>
      </c>
      <c r="B474" s="11" t="s">
        <v>1976</v>
      </c>
      <c r="C474" s="11" t="s">
        <v>23</v>
      </c>
      <c r="D474" s="33" t="s">
        <v>1977</v>
      </c>
      <c r="E474" s="40" t="s">
        <v>1978</v>
      </c>
      <c r="F474" s="20"/>
      <c r="G474" s="64"/>
      <c r="H474" s="20" t="s">
        <v>1475</v>
      </c>
      <c r="I474" s="6" t="s">
        <v>27</v>
      </c>
      <c r="J474" s="6" t="s">
        <v>27</v>
      </c>
      <c r="K474" s="6" t="s">
        <v>27</v>
      </c>
      <c r="L474" s="6" t="s">
        <v>27</v>
      </c>
      <c r="M474" s="6" t="s">
        <v>27</v>
      </c>
      <c r="N474" s="6" t="s">
        <v>27</v>
      </c>
      <c r="O474" s="90" t="s">
        <v>27</v>
      </c>
      <c r="P474" s="90" t="s">
        <v>27</v>
      </c>
      <c r="Q474" s="6"/>
      <c r="R474" s="33">
        <f t="shared" si="12"/>
        <v>2024</v>
      </c>
      <c r="S474" s="36"/>
    </row>
    <row r="475" spans="1:19" ht="14.5" x14ac:dyDescent="0.35">
      <c r="A475" s="42" t="s">
        <v>1386</v>
      </c>
      <c r="B475" s="33" t="s">
        <v>1979</v>
      </c>
      <c r="C475" s="11" t="s">
        <v>23</v>
      </c>
      <c r="D475" s="33" t="s">
        <v>1977</v>
      </c>
      <c r="E475" s="40" t="s">
        <v>1124</v>
      </c>
      <c r="F475" s="20"/>
      <c r="G475" s="64"/>
      <c r="H475" s="20" t="s">
        <v>1475</v>
      </c>
      <c r="I475" s="6" t="s">
        <v>27</v>
      </c>
      <c r="J475" s="6" t="s">
        <v>27</v>
      </c>
      <c r="K475" s="6" t="s">
        <v>27</v>
      </c>
      <c r="L475" s="6" t="s">
        <v>27</v>
      </c>
      <c r="M475" s="90" t="s">
        <v>27</v>
      </c>
      <c r="N475" s="90" t="s">
        <v>27</v>
      </c>
      <c r="O475" s="90" t="s">
        <v>27</v>
      </c>
      <c r="P475" s="90" t="s">
        <v>27</v>
      </c>
      <c r="Q475" s="6"/>
      <c r="R475" s="33">
        <f t="shared" si="12"/>
        <v>2025</v>
      </c>
      <c r="S475" s="36"/>
    </row>
    <row r="476" spans="1:19" ht="14.5" x14ac:dyDescent="0.35">
      <c r="A476" s="42" t="s">
        <v>1916</v>
      </c>
      <c r="B476" s="33" t="s">
        <v>176</v>
      </c>
      <c r="C476" s="43" t="s">
        <v>48</v>
      </c>
      <c r="D476" s="33" t="s">
        <v>1693</v>
      </c>
      <c r="E476" s="40" t="s">
        <v>1917</v>
      </c>
      <c r="F476" s="43"/>
      <c r="G476" s="64"/>
      <c r="H476" s="20" t="s">
        <v>1960</v>
      </c>
      <c r="I476" s="6" t="s">
        <v>27</v>
      </c>
      <c r="J476" s="6" t="s">
        <v>27</v>
      </c>
      <c r="K476" s="6" t="s">
        <v>27</v>
      </c>
      <c r="L476" s="6" t="s">
        <v>27</v>
      </c>
      <c r="M476" s="6" t="s">
        <v>27</v>
      </c>
      <c r="N476" s="176" t="s">
        <v>28</v>
      </c>
      <c r="O476" s="6"/>
      <c r="P476" s="6"/>
      <c r="Q476" s="6" t="s">
        <v>1980</v>
      </c>
      <c r="R476" s="33">
        <f t="shared" si="12"/>
        <v>2025</v>
      </c>
      <c r="S476" s="33"/>
    </row>
    <row r="477" spans="1:19" ht="14.5" x14ac:dyDescent="0.35">
      <c r="A477" s="42" t="s">
        <v>1918</v>
      </c>
      <c r="B477" s="33" t="s">
        <v>1919</v>
      </c>
      <c r="C477" s="43" t="s">
        <v>48</v>
      </c>
      <c r="D477" s="33" t="s">
        <v>1969</v>
      </c>
      <c r="E477" s="40" t="s">
        <v>1981</v>
      </c>
      <c r="F477" s="20"/>
      <c r="G477" s="64"/>
      <c r="H477" s="20" t="s">
        <v>749</v>
      </c>
      <c r="I477" s="175"/>
      <c r="J477" s="175"/>
      <c r="K477" s="175"/>
      <c r="L477" s="175"/>
      <c r="M477" s="175"/>
      <c r="N477" s="175"/>
      <c r="O477" s="175"/>
      <c r="P477" s="175"/>
      <c r="Q477" s="6" t="s">
        <v>1982</v>
      </c>
      <c r="R477" s="33">
        <f t="shared" si="12"/>
        <v>2025</v>
      </c>
      <c r="S477" s="33"/>
    </row>
    <row r="478" spans="1:19" ht="14.5" x14ac:dyDescent="0.35">
      <c r="A478" s="53" t="s">
        <v>95</v>
      </c>
      <c r="B478" s="33" t="s">
        <v>1983</v>
      </c>
      <c r="C478" s="11" t="s">
        <v>82</v>
      </c>
      <c r="D478" s="33" t="s">
        <v>1497</v>
      </c>
      <c r="E478" s="33" t="s">
        <v>1666</v>
      </c>
      <c r="F478" s="6"/>
      <c r="G478" s="65"/>
      <c r="H478" s="6" t="s">
        <v>1516</v>
      </c>
      <c r="I478" s="6" t="s">
        <v>27</v>
      </c>
      <c r="J478" s="6" t="s">
        <v>27</v>
      </c>
      <c r="K478" s="6" t="s">
        <v>27</v>
      </c>
      <c r="L478" s="6" t="s">
        <v>27</v>
      </c>
      <c r="M478" s="6" t="s">
        <v>27</v>
      </c>
      <c r="N478" s="6" t="s">
        <v>27</v>
      </c>
      <c r="O478" s="179"/>
      <c r="P478" s="179"/>
      <c r="Q478" s="6" t="s">
        <v>1984</v>
      </c>
      <c r="R478" s="33">
        <f t="shared" si="12"/>
        <v>2026</v>
      </c>
      <c r="S478" s="33"/>
    </row>
    <row r="479" spans="1:19" ht="14.5" x14ac:dyDescent="0.35">
      <c r="A479" s="42" t="s">
        <v>98</v>
      </c>
      <c r="B479" s="33" t="s">
        <v>1985</v>
      </c>
      <c r="C479" s="11" t="s">
        <v>100</v>
      </c>
      <c r="D479" s="33" t="s">
        <v>1986</v>
      </c>
      <c r="E479" s="40" t="s">
        <v>1987</v>
      </c>
      <c r="F479" s="20"/>
      <c r="G479" s="64"/>
      <c r="H479" s="20" t="s">
        <v>1988</v>
      </c>
      <c r="I479" s="6" t="s">
        <v>27</v>
      </c>
      <c r="J479" s="6" t="s">
        <v>27</v>
      </c>
      <c r="K479" s="6" t="s">
        <v>27</v>
      </c>
      <c r="L479" s="6" t="s">
        <v>27</v>
      </c>
      <c r="M479" s="6" t="s">
        <v>27</v>
      </c>
      <c r="N479" s="6" t="s">
        <v>27</v>
      </c>
      <c r="O479" s="179"/>
      <c r="P479" s="179"/>
      <c r="Q479" s="6" t="s">
        <v>1989</v>
      </c>
      <c r="R479" s="33">
        <f t="shared" si="12"/>
        <v>2026</v>
      </c>
      <c r="S479" s="33"/>
    </row>
    <row r="480" spans="1:19" ht="29" x14ac:dyDescent="0.35">
      <c r="A480" s="40" t="s">
        <v>1990</v>
      </c>
      <c r="B480" s="33" t="s">
        <v>1991</v>
      </c>
      <c r="C480" s="11" t="s">
        <v>23</v>
      </c>
      <c r="D480" s="46" t="s">
        <v>1992</v>
      </c>
      <c r="E480" s="46" t="s">
        <v>1993</v>
      </c>
      <c r="F480" s="44"/>
      <c r="G480" s="66"/>
      <c r="H480" s="20" t="s">
        <v>1516</v>
      </c>
      <c r="I480" s="6" t="s">
        <v>27</v>
      </c>
      <c r="J480" s="178" t="s">
        <v>28</v>
      </c>
      <c r="K480" s="6"/>
      <c r="L480" s="6"/>
      <c r="M480" s="6"/>
      <c r="N480" s="6"/>
      <c r="O480" s="6"/>
      <c r="P480" s="6"/>
      <c r="Q480" s="177" t="s">
        <v>1994</v>
      </c>
      <c r="R480" s="33">
        <f t="shared" si="12"/>
        <v>2025</v>
      </c>
      <c r="S480" s="36">
        <v>46139</v>
      </c>
    </row>
    <row r="481" spans="1:19" ht="14.5" x14ac:dyDescent="0.35">
      <c r="A481" s="33" t="s">
        <v>1830</v>
      </c>
      <c r="B481" s="33" t="s">
        <v>314</v>
      </c>
      <c r="C481" s="43" t="s">
        <v>48</v>
      </c>
      <c r="D481" s="33" t="s">
        <v>1517</v>
      </c>
      <c r="E481" s="33" t="s">
        <v>1823</v>
      </c>
      <c r="F481" s="11"/>
      <c r="G481" s="65"/>
      <c r="H481" s="6" t="s">
        <v>1960</v>
      </c>
      <c r="I481" s="6" t="s">
        <v>27</v>
      </c>
      <c r="J481" s="6" t="s">
        <v>27</v>
      </c>
      <c r="K481" s="6" t="s">
        <v>27</v>
      </c>
      <c r="L481" s="6" t="s">
        <v>27</v>
      </c>
      <c r="M481" s="6" t="s">
        <v>27</v>
      </c>
      <c r="N481" s="6" t="s">
        <v>27</v>
      </c>
      <c r="O481" s="6" t="s">
        <v>27</v>
      </c>
      <c r="P481" s="6" t="s">
        <v>27</v>
      </c>
      <c r="Q481" s="6"/>
      <c r="R481" s="33">
        <f t="shared" si="12"/>
        <v>2024</v>
      </c>
      <c r="S481" s="33"/>
    </row>
    <row r="482" spans="1:19" ht="14.5" x14ac:dyDescent="0.35">
      <c r="A482" s="33" t="s">
        <v>189</v>
      </c>
      <c r="B482" s="33" t="s">
        <v>1995</v>
      </c>
      <c r="C482" s="11" t="s">
        <v>100</v>
      </c>
      <c r="D482" s="33" t="s">
        <v>1996</v>
      </c>
      <c r="E482" s="33" t="s">
        <v>1997</v>
      </c>
      <c r="F482" s="6"/>
      <c r="G482" s="65"/>
      <c r="H482" s="20" t="s">
        <v>1475</v>
      </c>
      <c r="I482" s="6" t="s">
        <v>27</v>
      </c>
      <c r="J482" s="6" t="s">
        <v>27</v>
      </c>
      <c r="K482" s="6" t="s">
        <v>27</v>
      </c>
      <c r="L482" s="6" t="s">
        <v>27</v>
      </c>
      <c r="M482" s="6" t="s">
        <v>27</v>
      </c>
      <c r="N482" s="90" t="s">
        <v>27</v>
      </c>
      <c r="O482" s="90" t="s">
        <v>27</v>
      </c>
      <c r="P482" s="90" t="s">
        <v>27</v>
      </c>
      <c r="Q482" s="6"/>
      <c r="R482" s="33">
        <f t="shared" si="12"/>
        <v>2025</v>
      </c>
      <c r="S482" s="33"/>
    </row>
    <row r="483" spans="1:19" ht="14.5" x14ac:dyDescent="0.35">
      <c r="A483" s="33" t="s">
        <v>1916</v>
      </c>
      <c r="B483" s="45" t="s">
        <v>176</v>
      </c>
      <c r="C483" s="43" t="s">
        <v>48</v>
      </c>
      <c r="D483" s="45" t="s">
        <v>1998</v>
      </c>
      <c r="E483" s="45" t="s">
        <v>1999</v>
      </c>
      <c r="F483" s="46" t="s">
        <v>25</v>
      </c>
      <c r="G483" s="66">
        <v>38000</v>
      </c>
      <c r="H483" s="38" t="s">
        <v>1516</v>
      </c>
      <c r="I483" s="6" t="s">
        <v>27</v>
      </c>
      <c r="J483" s="6" t="s">
        <v>27</v>
      </c>
      <c r="K483" s="6" t="s">
        <v>27</v>
      </c>
      <c r="L483" s="6" t="s">
        <v>27</v>
      </c>
      <c r="M483" s="6" t="s">
        <v>27</v>
      </c>
      <c r="N483" s="178" t="s">
        <v>28</v>
      </c>
      <c r="O483" s="6"/>
      <c r="P483" s="6"/>
      <c r="Q483" s="20" t="s">
        <v>1975</v>
      </c>
      <c r="R483" s="33">
        <f t="shared" si="12"/>
        <v>2025</v>
      </c>
      <c r="S483" s="59">
        <v>46119</v>
      </c>
    </row>
    <row r="484" spans="1:19" ht="15" customHeight="1" x14ac:dyDescent="0.35">
      <c r="A484" s="46" t="s">
        <v>1368</v>
      </c>
      <c r="B484" s="47" t="s">
        <v>163</v>
      </c>
      <c r="C484" s="11" t="s">
        <v>66</v>
      </c>
      <c r="D484" s="47" t="s">
        <v>1870</v>
      </c>
      <c r="E484" s="47" t="s">
        <v>1871</v>
      </c>
      <c r="F484" s="46" t="s">
        <v>25</v>
      </c>
      <c r="G484" s="66">
        <v>101000</v>
      </c>
      <c r="H484" s="38" t="s">
        <v>1680</v>
      </c>
      <c r="I484" s="6" t="s">
        <v>27</v>
      </c>
      <c r="J484" s="6" t="s">
        <v>27</v>
      </c>
      <c r="K484" s="6" t="s">
        <v>27</v>
      </c>
      <c r="L484" s="6" t="s">
        <v>27</v>
      </c>
      <c r="M484" s="6" t="s">
        <v>27</v>
      </c>
      <c r="N484" s="90" t="s">
        <v>27</v>
      </c>
      <c r="O484" s="90" t="s">
        <v>27</v>
      </c>
      <c r="P484" s="90" t="s">
        <v>27</v>
      </c>
      <c r="Q484" s="20"/>
      <c r="R484" s="33">
        <f t="shared" si="12"/>
        <v>2025</v>
      </c>
      <c r="S484" s="33"/>
    </row>
    <row r="485" spans="1:19" ht="15" customHeight="1" x14ac:dyDescent="0.35">
      <c r="A485" s="46" t="s">
        <v>1368</v>
      </c>
      <c r="B485" s="47" t="s">
        <v>163</v>
      </c>
      <c r="C485" s="11" t="s">
        <v>66</v>
      </c>
      <c r="D485" s="45" t="s">
        <v>1969</v>
      </c>
      <c r="E485" s="45" t="s">
        <v>1514</v>
      </c>
      <c r="F485" s="33"/>
      <c r="G485" s="67"/>
      <c r="H485" s="38" t="s">
        <v>1516</v>
      </c>
      <c r="I485" s="6" t="s">
        <v>27</v>
      </c>
      <c r="J485" s="6" t="s">
        <v>27</v>
      </c>
      <c r="K485" s="6" t="s">
        <v>27</v>
      </c>
      <c r="L485" s="178" t="s">
        <v>28</v>
      </c>
      <c r="M485" s="6"/>
      <c r="N485" s="6"/>
      <c r="O485" s="6"/>
      <c r="P485" s="6"/>
      <c r="Q485" s="20" t="s">
        <v>2000</v>
      </c>
      <c r="R485" s="33">
        <f t="shared" si="12"/>
        <v>2025</v>
      </c>
      <c r="S485" s="33"/>
    </row>
    <row r="486" spans="1:19" ht="15" customHeight="1" x14ac:dyDescent="0.35">
      <c r="A486" s="46" t="s">
        <v>387</v>
      </c>
      <c r="B486" s="47" t="s">
        <v>1156</v>
      </c>
      <c r="C486" s="11" t="s">
        <v>66</v>
      </c>
      <c r="D486" s="45" t="s">
        <v>1697</v>
      </c>
      <c r="E486" s="45" t="s">
        <v>2001</v>
      </c>
      <c r="F486" s="72" t="s">
        <v>25</v>
      </c>
      <c r="G486" s="73">
        <v>230000</v>
      </c>
      <c r="H486" s="38" t="s">
        <v>1475</v>
      </c>
      <c r="I486" s="6" t="s">
        <v>27</v>
      </c>
      <c r="J486" s="6" t="s">
        <v>27</v>
      </c>
      <c r="K486" s="6" t="s">
        <v>27</v>
      </c>
      <c r="L486" s="6" t="s">
        <v>27</v>
      </c>
      <c r="M486" s="6" t="s">
        <v>27</v>
      </c>
      <c r="N486" s="90" t="s">
        <v>27</v>
      </c>
      <c r="O486" s="90" t="s">
        <v>27</v>
      </c>
      <c r="P486" s="90" t="s">
        <v>27</v>
      </c>
      <c r="Q486" s="20"/>
      <c r="R486" s="33">
        <f t="shared" si="12"/>
        <v>2024</v>
      </c>
      <c r="S486" s="33"/>
    </row>
    <row r="487" spans="1:19" ht="15" customHeight="1" x14ac:dyDescent="0.35">
      <c r="A487" s="46" t="s">
        <v>387</v>
      </c>
      <c r="B487" s="47" t="s">
        <v>1156</v>
      </c>
      <c r="C487" s="11" t="s">
        <v>66</v>
      </c>
      <c r="D487" s="45" t="s">
        <v>2002</v>
      </c>
      <c r="E487" s="45" t="s">
        <v>2003</v>
      </c>
      <c r="F487" s="72" t="s">
        <v>44</v>
      </c>
      <c r="G487" s="73">
        <v>243000</v>
      </c>
      <c r="H487" s="38" t="s">
        <v>1475</v>
      </c>
      <c r="I487" s="6" t="s">
        <v>27</v>
      </c>
      <c r="J487" s="6" t="s">
        <v>27</v>
      </c>
      <c r="K487" s="6" t="s">
        <v>27</v>
      </c>
      <c r="L487" s="6" t="s">
        <v>27</v>
      </c>
      <c r="M487" s="6" t="s">
        <v>27</v>
      </c>
      <c r="N487" s="90" t="s">
        <v>27</v>
      </c>
      <c r="O487" s="90" t="s">
        <v>27</v>
      </c>
      <c r="P487" s="90" t="s">
        <v>27</v>
      </c>
      <c r="Q487" s="20"/>
      <c r="R487" s="33">
        <f t="shared" si="12"/>
        <v>2024</v>
      </c>
      <c r="S487" s="33"/>
    </row>
    <row r="488" spans="1:19" ht="15" customHeight="1" x14ac:dyDescent="0.35">
      <c r="A488" s="46" t="s">
        <v>387</v>
      </c>
      <c r="B488" s="47" t="s">
        <v>1156</v>
      </c>
      <c r="C488" s="11" t="s">
        <v>66</v>
      </c>
      <c r="D488" s="45" t="s">
        <v>1490</v>
      </c>
      <c r="E488" s="45" t="s">
        <v>2004</v>
      </c>
      <c r="F488" s="72" t="s">
        <v>44</v>
      </c>
      <c r="G488" s="73">
        <v>58800</v>
      </c>
      <c r="H488" s="38" t="s">
        <v>1475</v>
      </c>
      <c r="I488" s="6" t="s">
        <v>27</v>
      </c>
      <c r="J488" s="6" t="s">
        <v>27</v>
      </c>
      <c r="K488" s="6" t="s">
        <v>27</v>
      </c>
      <c r="L488" s="6" t="s">
        <v>27</v>
      </c>
      <c r="M488" s="6" t="s">
        <v>27</v>
      </c>
      <c r="N488" s="90" t="s">
        <v>27</v>
      </c>
      <c r="O488" s="90" t="s">
        <v>27</v>
      </c>
      <c r="P488" s="90" t="s">
        <v>27</v>
      </c>
      <c r="Q488" s="20"/>
      <c r="R488" s="33">
        <f t="shared" si="12"/>
        <v>2024</v>
      </c>
      <c r="S488" s="33"/>
    </row>
    <row r="489" spans="1:19" ht="15" customHeight="1" x14ac:dyDescent="0.35">
      <c r="A489" s="46" t="s">
        <v>1114</v>
      </c>
      <c r="B489" s="47" t="s">
        <v>2005</v>
      </c>
      <c r="C489" s="43" t="s">
        <v>37</v>
      </c>
      <c r="D489" s="47" t="s">
        <v>1998</v>
      </c>
      <c r="E489" s="47" t="s">
        <v>1790</v>
      </c>
      <c r="F489" s="46" t="s">
        <v>25</v>
      </c>
      <c r="G489" s="66">
        <v>48000</v>
      </c>
      <c r="H489" s="38" t="s">
        <v>1516</v>
      </c>
      <c r="I489" s="6" t="s">
        <v>27</v>
      </c>
      <c r="J489" s="6" t="s">
        <v>27</v>
      </c>
      <c r="K489" s="6" t="s">
        <v>27</v>
      </c>
      <c r="L489" s="6" t="s">
        <v>27</v>
      </c>
      <c r="M489" s="6" t="s">
        <v>27</v>
      </c>
      <c r="N489" s="6" t="s">
        <v>27</v>
      </c>
      <c r="O489" s="6" t="s">
        <v>27</v>
      </c>
      <c r="P489" s="6" t="s">
        <v>27</v>
      </c>
      <c r="Q489" s="20" t="s">
        <v>2006</v>
      </c>
      <c r="R489" s="33">
        <f t="shared" si="12"/>
        <v>2023</v>
      </c>
      <c r="S489" s="36">
        <v>46052</v>
      </c>
    </row>
    <row r="490" spans="1:19" ht="15" customHeight="1" x14ac:dyDescent="0.35">
      <c r="A490" s="33" t="s">
        <v>1830</v>
      </c>
      <c r="B490" s="45" t="s">
        <v>314</v>
      </c>
      <c r="C490" s="43" t="s">
        <v>48</v>
      </c>
      <c r="D490" s="45" t="s">
        <v>2007</v>
      </c>
      <c r="E490" s="45" t="s">
        <v>2008</v>
      </c>
      <c r="F490" s="46" t="s">
        <v>25</v>
      </c>
      <c r="G490" s="66">
        <v>102080</v>
      </c>
      <c r="H490" s="38" t="s">
        <v>1516</v>
      </c>
      <c r="I490" s="6" t="s">
        <v>27</v>
      </c>
      <c r="J490" s="6" t="s">
        <v>27</v>
      </c>
      <c r="K490" s="6" t="s">
        <v>27</v>
      </c>
      <c r="L490" s="6" t="s">
        <v>27</v>
      </c>
      <c r="M490" s="178" t="s">
        <v>28</v>
      </c>
      <c r="N490" s="6"/>
      <c r="O490" s="6"/>
      <c r="P490" s="6"/>
      <c r="Q490" s="20" t="s">
        <v>2009</v>
      </c>
      <c r="R490" s="33">
        <f t="shared" si="12"/>
        <v>2024</v>
      </c>
      <c r="S490" s="59">
        <v>46133</v>
      </c>
    </row>
    <row r="491" spans="1:19" ht="15" customHeight="1" x14ac:dyDescent="0.35">
      <c r="A491" s="46" t="s">
        <v>49</v>
      </c>
      <c r="B491" s="47" t="s">
        <v>2010</v>
      </c>
      <c r="C491" s="43" t="s">
        <v>37</v>
      </c>
      <c r="D491" s="47" t="s">
        <v>2011</v>
      </c>
      <c r="E491" s="47" t="s">
        <v>2012</v>
      </c>
      <c r="F491" s="46" t="s">
        <v>53</v>
      </c>
      <c r="G491" s="66">
        <v>20000</v>
      </c>
      <c r="H491" s="38" t="s">
        <v>663</v>
      </c>
      <c r="I491" s="175"/>
      <c r="J491" s="175"/>
      <c r="K491" s="175"/>
      <c r="L491" s="175"/>
      <c r="M491" s="175"/>
      <c r="N491" s="175"/>
      <c r="O491" s="175"/>
      <c r="P491" s="175"/>
      <c r="Q491" s="20"/>
      <c r="R491" s="33">
        <f t="shared" si="12"/>
        <v>2026</v>
      </c>
      <c r="S491" s="33"/>
    </row>
    <row r="492" spans="1:19" ht="15" customHeight="1" x14ac:dyDescent="0.35">
      <c r="A492" s="46" t="s">
        <v>2013</v>
      </c>
      <c r="B492" s="47" t="s">
        <v>2014</v>
      </c>
      <c r="C492" s="43" t="s">
        <v>37</v>
      </c>
      <c r="D492" s="47" t="s">
        <v>2015</v>
      </c>
      <c r="E492" s="47" t="s">
        <v>2016</v>
      </c>
      <c r="F492" s="46" t="s">
        <v>25</v>
      </c>
      <c r="G492" s="66">
        <v>33000</v>
      </c>
      <c r="H492" s="38" t="s">
        <v>1516</v>
      </c>
      <c r="I492" s="6" t="s">
        <v>27</v>
      </c>
      <c r="J492" s="6" t="s">
        <v>27</v>
      </c>
      <c r="K492" s="6" t="s">
        <v>27</v>
      </c>
      <c r="L492" s="6" t="s">
        <v>27</v>
      </c>
      <c r="M492" s="6" t="s">
        <v>27</v>
      </c>
      <c r="N492" s="178" t="s">
        <v>28</v>
      </c>
      <c r="O492" s="6"/>
      <c r="P492" s="6"/>
      <c r="Q492" s="20" t="s">
        <v>1975</v>
      </c>
      <c r="R492" s="33">
        <f t="shared" si="12"/>
        <v>2026</v>
      </c>
      <c r="S492" s="59">
        <v>46148</v>
      </c>
    </row>
    <row r="493" spans="1:19" ht="15" customHeight="1" x14ac:dyDescent="0.35">
      <c r="A493" s="72" t="s">
        <v>2017</v>
      </c>
      <c r="B493" s="72" t="s">
        <v>2014</v>
      </c>
      <c r="C493" s="43" t="s">
        <v>37</v>
      </c>
      <c r="D493" s="72" t="s">
        <v>2018</v>
      </c>
      <c r="E493" s="72" t="s">
        <v>2019</v>
      </c>
      <c r="F493" s="72" t="s">
        <v>25</v>
      </c>
      <c r="G493" s="73">
        <v>20000</v>
      </c>
      <c r="H493" s="75" t="s">
        <v>1475</v>
      </c>
      <c r="I493" s="6" t="s">
        <v>27</v>
      </c>
      <c r="J493" s="6" t="s">
        <v>27</v>
      </c>
      <c r="K493" s="6" t="s">
        <v>27</v>
      </c>
      <c r="L493" s="6" t="s">
        <v>27</v>
      </c>
      <c r="M493" s="6" t="s">
        <v>27</v>
      </c>
      <c r="N493" s="90" t="s">
        <v>27</v>
      </c>
      <c r="O493" s="90" t="s">
        <v>27</v>
      </c>
      <c r="P493" s="90" t="s">
        <v>27</v>
      </c>
      <c r="Q493" s="6"/>
      <c r="R493" s="33">
        <f t="shared" si="12"/>
        <v>2026</v>
      </c>
      <c r="S493" s="33"/>
    </row>
    <row r="494" spans="1:19" ht="15" customHeight="1" x14ac:dyDescent="0.35">
      <c r="A494" s="72" t="s">
        <v>1114</v>
      </c>
      <c r="B494" s="41" t="s">
        <v>2020</v>
      </c>
      <c r="C494" s="43" t="s">
        <v>37</v>
      </c>
      <c r="D494" s="72" t="s">
        <v>1469</v>
      </c>
      <c r="E494" s="72" t="s">
        <v>1124</v>
      </c>
      <c r="F494" s="72" t="s">
        <v>25</v>
      </c>
      <c r="G494" s="73">
        <v>129000</v>
      </c>
      <c r="H494" s="75" t="s">
        <v>1516</v>
      </c>
      <c r="I494" s="6" t="s">
        <v>27</v>
      </c>
      <c r="J494" s="6" t="s">
        <v>27</v>
      </c>
      <c r="K494" s="6" t="s">
        <v>27</v>
      </c>
      <c r="L494" s="6" t="s">
        <v>27</v>
      </c>
      <c r="M494" s="178" t="s">
        <v>28</v>
      </c>
      <c r="N494" s="6"/>
      <c r="O494" s="6"/>
      <c r="P494" s="6"/>
      <c r="Q494" s="20" t="s">
        <v>2021</v>
      </c>
      <c r="R494" s="33">
        <f t="shared" si="12"/>
        <v>2023</v>
      </c>
      <c r="S494" s="59">
        <v>46149</v>
      </c>
    </row>
    <row r="495" spans="1:19" ht="15" customHeight="1" x14ac:dyDescent="0.35">
      <c r="A495" s="72" t="s">
        <v>1114</v>
      </c>
      <c r="B495" s="41" t="s">
        <v>2020</v>
      </c>
      <c r="C495" s="43" t="s">
        <v>37</v>
      </c>
      <c r="D495" s="72" t="s">
        <v>1483</v>
      </c>
      <c r="E495" s="72" t="s">
        <v>1185</v>
      </c>
      <c r="F495" s="72" t="s">
        <v>25</v>
      </c>
      <c r="G495" s="73">
        <v>50000</v>
      </c>
      <c r="H495" s="75" t="s">
        <v>1516</v>
      </c>
      <c r="I495" s="6" t="s">
        <v>27</v>
      </c>
      <c r="J495" s="6" t="s">
        <v>27</v>
      </c>
      <c r="K495" s="6" t="s">
        <v>27</v>
      </c>
      <c r="L495" s="6" t="s">
        <v>27</v>
      </c>
      <c r="M495" s="178" t="s">
        <v>28</v>
      </c>
      <c r="N495" s="6"/>
      <c r="O495" s="6"/>
      <c r="P495" s="6"/>
      <c r="Q495" s="20" t="s">
        <v>2021</v>
      </c>
      <c r="R495" s="33">
        <f t="shared" si="12"/>
        <v>2023</v>
      </c>
      <c r="S495" s="59">
        <v>46149</v>
      </c>
    </row>
    <row r="496" spans="1:19" ht="15" customHeight="1" x14ac:dyDescent="0.35">
      <c r="A496" s="72" t="s">
        <v>1114</v>
      </c>
      <c r="B496" s="41" t="s">
        <v>2020</v>
      </c>
      <c r="C496" s="43" t="s">
        <v>37</v>
      </c>
      <c r="D496" s="72" t="s">
        <v>1923</v>
      </c>
      <c r="E496" s="72" t="s">
        <v>1186</v>
      </c>
      <c r="F496" s="72" t="s">
        <v>25</v>
      </c>
      <c r="G496" s="73">
        <v>96600</v>
      </c>
      <c r="H496" s="75" t="s">
        <v>1516</v>
      </c>
      <c r="I496" s="6" t="s">
        <v>27</v>
      </c>
      <c r="J496" s="6" t="s">
        <v>27</v>
      </c>
      <c r="K496" s="6" t="s">
        <v>27</v>
      </c>
      <c r="L496" s="6" t="s">
        <v>27</v>
      </c>
      <c r="M496" s="178" t="s">
        <v>28</v>
      </c>
      <c r="N496" s="6"/>
      <c r="O496" s="6"/>
      <c r="P496" s="6"/>
      <c r="Q496" s="20" t="s">
        <v>2021</v>
      </c>
      <c r="R496" s="33">
        <f t="shared" si="12"/>
        <v>2023</v>
      </c>
      <c r="S496" s="59">
        <v>46149</v>
      </c>
    </row>
    <row r="497" spans="1:19" ht="15" customHeight="1" x14ac:dyDescent="0.35">
      <c r="A497" s="72" t="s">
        <v>1114</v>
      </c>
      <c r="B497" s="41" t="s">
        <v>2020</v>
      </c>
      <c r="C497" s="43" t="s">
        <v>37</v>
      </c>
      <c r="D497" s="72" t="s">
        <v>2022</v>
      </c>
      <c r="E497" s="72" t="s">
        <v>2023</v>
      </c>
      <c r="F497" s="72" t="s">
        <v>25</v>
      </c>
      <c r="G497" s="73">
        <v>390752</v>
      </c>
      <c r="H497" s="75" t="s">
        <v>1516</v>
      </c>
      <c r="I497" s="6" t="s">
        <v>27</v>
      </c>
      <c r="J497" s="6" t="s">
        <v>27</v>
      </c>
      <c r="K497" s="6" t="s">
        <v>27</v>
      </c>
      <c r="L497" s="6" t="s">
        <v>27</v>
      </c>
      <c r="M497" s="178" t="s">
        <v>28</v>
      </c>
      <c r="N497" s="6"/>
      <c r="O497" s="6"/>
      <c r="P497" s="6"/>
      <c r="Q497" s="20" t="s">
        <v>2021</v>
      </c>
      <c r="R497" s="33">
        <f t="shared" si="12"/>
        <v>2023</v>
      </c>
      <c r="S497" s="59">
        <v>46150</v>
      </c>
    </row>
    <row r="498" spans="1:19" ht="15" customHeight="1" x14ac:dyDescent="0.35">
      <c r="A498" s="72" t="s">
        <v>1114</v>
      </c>
      <c r="B498" s="41" t="s">
        <v>2020</v>
      </c>
      <c r="C498" s="43" t="s">
        <v>37</v>
      </c>
      <c r="D498" s="72" t="s">
        <v>2024</v>
      </c>
      <c r="E498" s="72" t="s">
        <v>1796</v>
      </c>
      <c r="F498" s="72" t="s">
        <v>25</v>
      </c>
      <c r="G498" s="73">
        <v>30000</v>
      </c>
      <c r="H498" s="75" t="s">
        <v>1516</v>
      </c>
      <c r="I498" s="6" t="s">
        <v>27</v>
      </c>
      <c r="J498" s="6" t="s">
        <v>27</v>
      </c>
      <c r="K498" s="6" t="s">
        <v>27</v>
      </c>
      <c r="L498" s="6" t="s">
        <v>27</v>
      </c>
      <c r="M498" s="178" t="s">
        <v>28</v>
      </c>
      <c r="N498" s="6"/>
      <c r="O498" s="6"/>
      <c r="P498" s="6"/>
      <c r="Q498" s="20" t="s">
        <v>2021</v>
      </c>
      <c r="R498" s="33">
        <f t="shared" si="12"/>
        <v>2023</v>
      </c>
      <c r="S498" s="59">
        <v>46150</v>
      </c>
    </row>
    <row r="499" spans="1:19" ht="15" customHeight="1" x14ac:dyDescent="0.35">
      <c r="A499" s="72" t="s">
        <v>1114</v>
      </c>
      <c r="B499" s="41" t="s">
        <v>2020</v>
      </c>
      <c r="C499" s="43" t="s">
        <v>37</v>
      </c>
      <c r="D499" s="72" t="s">
        <v>1920</v>
      </c>
      <c r="E499" s="72" t="s">
        <v>1020</v>
      </c>
      <c r="F499" s="72" t="s">
        <v>25</v>
      </c>
      <c r="G499" s="73">
        <v>65000</v>
      </c>
      <c r="H499" s="75" t="s">
        <v>1516</v>
      </c>
      <c r="I499" s="6" t="s">
        <v>27</v>
      </c>
      <c r="J499" s="6" t="s">
        <v>27</v>
      </c>
      <c r="K499" s="6" t="s">
        <v>27</v>
      </c>
      <c r="L499" s="6" t="s">
        <v>27</v>
      </c>
      <c r="M499" s="178" t="s">
        <v>28</v>
      </c>
      <c r="N499" s="6"/>
      <c r="O499" s="6"/>
      <c r="P499" s="6"/>
      <c r="Q499" s="20" t="s">
        <v>2021</v>
      </c>
      <c r="R499" s="33">
        <f t="shared" si="12"/>
        <v>2023</v>
      </c>
      <c r="S499" s="59">
        <v>46157</v>
      </c>
    </row>
    <row r="500" spans="1:19" ht="15" customHeight="1" x14ac:dyDescent="0.35">
      <c r="A500" s="72" t="s">
        <v>1114</v>
      </c>
      <c r="B500" s="41" t="s">
        <v>2020</v>
      </c>
      <c r="C500" s="43" t="s">
        <v>37</v>
      </c>
      <c r="D500" s="72" t="s">
        <v>1693</v>
      </c>
      <c r="E500" s="72" t="s">
        <v>1491</v>
      </c>
      <c r="F500" s="72" t="s">
        <v>25</v>
      </c>
      <c r="G500" s="73">
        <v>65000</v>
      </c>
      <c r="H500" s="75" t="s">
        <v>1516</v>
      </c>
      <c r="I500" s="6" t="s">
        <v>27</v>
      </c>
      <c r="J500" s="6" t="s">
        <v>27</v>
      </c>
      <c r="K500" s="6" t="s">
        <v>27</v>
      </c>
      <c r="L500" s="6" t="s">
        <v>27</v>
      </c>
      <c r="M500" s="178" t="s">
        <v>28</v>
      </c>
      <c r="N500" s="6"/>
      <c r="O500" s="6"/>
      <c r="P500" s="6"/>
      <c r="Q500" s="20" t="s">
        <v>2021</v>
      </c>
      <c r="R500" s="33">
        <f t="shared" si="12"/>
        <v>2023</v>
      </c>
      <c r="S500" s="59">
        <v>46157</v>
      </c>
    </row>
    <row r="501" spans="1:19" ht="15" customHeight="1" x14ac:dyDescent="0.35">
      <c r="A501" s="74" t="s">
        <v>2025</v>
      </c>
      <c r="B501" s="74" t="s">
        <v>46</v>
      </c>
      <c r="C501" s="43" t="s">
        <v>48</v>
      </c>
      <c r="D501" s="55" t="s">
        <v>2026</v>
      </c>
      <c r="E501" s="74" t="s">
        <v>2027</v>
      </c>
      <c r="F501" s="72" t="s">
        <v>25</v>
      </c>
      <c r="G501" s="73">
        <v>15000</v>
      </c>
      <c r="H501" s="22" t="s">
        <v>1516</v>
      </c>
      <c r="I501" s="6" t="s">
        <v>27</v>
      </c>
      <c r="J501" s="6" t="s">
        <v>27</v>
      </c>
      <c r="K501" s="6" t="s">
        <v>27</v>
      </c>
      <c r="L501" s="6" t="s">
        <v>27</v>
      </c>
      <c r="M501" s="6" t="s">
        <v>27</v>
      </c>
      <c r="N501" s="178" t="s">
        <v>28</v>
      </c>
      <c r="O501" s="6"/>
      <c r="P501" s="6"/>
      <c r="Q501" s="20" t="s">
        <v>1975</v>
      </c>
      <c r="R501" s="33">
        <f t="shared" si="12"/>
        <v>2026</v>
      </c>
      <c r="S501" s="59">
        <v>46175</v>
      </c>
    </row>
    <row r="502" spans="1:19" ht="15" customHeight="1" x14ac:dyDescent="0.35">
      <c r="A502" s="72" t="s">
        <v>49</v>
      </c>
      <c r="B502" s="72" t="s">
        <v>2028</v>
      </c>
      <c r="C502" s="43" t="s">
        <v>37</v>
      </c>
      <c r="D502" s="72" t="s">
        <v>2011</v>
      </c>
      <c r="E502" s="72" t="s">
        <v>2029</v>
      </c>
      <c r="F502" s="72" t="s">
        <v>53</v>
      </c>
      <c r="G502" s="73">
        <v>20000</v>
      </c>
      <c r="H502" s="75" t="s">
        <v>1516</v>
      </c>
      <c r="I502" s="6" t="s">
        <v>27</v>
      </c>
      <c r="J502" s="6" t="s">
        <v>27</v>
      </c>
      <c r="K502" s="6" t="s">
        <v>27</v>
      </c>
      <c r="L502" s="6" t="s">
        <v>27</v>
      </c>
      <c r="M502" s="6" t="s">
        <v>27</v>
      </c>
      <c r="N502" s="178" t="s">
        <v>28</v>
      </c>
      <c r="O502" s="6"/>
      <c r="P502" s="6"/>
      <c r="Q502" s="20" t="s">
        <v>1975</v>
      </c>
      <c r="R502" s="33">
        <f t="shared" ref="R502" si="13">IFERROR(2000+VALUE(LEFT(A502,2)),"")</f>
        <v>2026</v>
      </c>
      <c r="S502" s="59">
        <v>46176</v>
      </c>
    </row>
    <row r="503" spans="1:19" ht="15" customHeight="1" x14ac:dyDescent="0.35">
      <c r="S503" s="35"/>
    </row>
  </sheetData>
  <sortState xmlns:xlrd2="http://schemas.microsoft.com/office/spreadsheetml/2017/richdata2" ref="A11:Q13">
    <sortCondition ref="A11:A13"/>
  </sortState>
  <conditionalFormatting sqref="I1:P1048576">
    <cfRule type="containsText" dxfId="2" priority="1" operator="containsText" text="Pending">
      <formula>NOT(ISERROR(SEARCH("Pending",I1)))</formula>
    </cfRule>
    <cfRule type="containsText" dxfId="1" priority="2" operator="containsText" text="Complete">
      <formula>NOT(ISERROR(SEARCH("Complete",I1)))</formula>
    </cfRule>
  </conditionalFormatting>
  <conditionalFormatting sqref="Q2:Q999">
    <cfRule type="notContainsBlanks" dxfId="0" priority="9">
      <formula>LEN(TRIM(Q2))&gt;0</formula>
    </cfRule>
  </conditionalFormatting>
  <dataValidations count="1">
    <dataValidation allowBlank="1" showInputMessage="1" showErrorMessage="1" sqref="J15:P15 J1:O14 P432:P433 P474:P475 P435 P471 S483 I503:O1048576 M501:M502 I489:P489 I490:L490 S494:S502 S492 S490 I492:M492 L486:L488 N481:N482 I484:K488 M484:P488 L484 J481:M483 O481:P483 J16:O479 I493:L502 N493:N500 M493 I1:I483 I491:O491 O492:P502 N490:P490" xr:uid="{1C176025-A30B-480D-B43D-123996347A79}"/>
  </dataValidations>
  <pageMargins left="0.7" right="0.7" top="0.75" bottom="0.75" header="0.3" footer="0.3"/>
  <pageSetup paperSize="9"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C464D-453F-4286-96A5-B85709BFA052}">
  <dimension ref="A1:E31"/>
  <sheetViews>
    <sheetView workbookViewId="0">
      <selection activeCell="F4" sqref="F4"/>
    </sheetView>
  </sheetViews>
  <sheetFormatPr defaultRowHeight="14.5" x14ac:dyDescent="0.35"/>
  <cols>
    <col min="2" max="2" width="42.1796875" customWidth="1"/>
    <col min="3" max="3" width="17.81640625" customWidth="1"/>
  </cols>
  <sheetData>
    <row r="1" spans="1:5" x14ac:dyDescent="0.35">
      <c r="A1" s="19"/>
      <c r="B1" s="25" t="s">
        <v>2030</v>
      </c>
      <c r="C1" s="26" t="s">
        <v>2031</v>
      </c>
      <c r="D1" s="19"/>
      <c r="E1" s="19"/>
    </row>
    <row r="2" spans="1:5" x14ac:dyDescent="0.35">
      <c r="A2" s="19"/>
      <c r="B2" s="27" t="s">
        <v>2032</v>
      </c>
      <c r="C2" s="28" t="s">
        <v>2033</v>
      </c>
      <c r="D2" s="19"/>
      <c r="E2" s="19"/>
    </row>
    <row r="3" spans="1:5" x14ac:dyDescent="0.35">
      <c r="A3" s="19"/>
      <c r="B3" s="27" t="s">
        <v>2034</v>
      </c>
      <c r="C3" s="28" t="s">
        <v>2033</v>
      </c>
      <c r="D3" s="19"/>
      <c r="E3" s="19"/>
    </row>
    <row r="4" spans="1:5" x14ac:dyDescent="0.35">
      <c r="A4" s="19"/>
      <c r="B4" s="27" t="s">
        <v>2035</v>
      </c>
      <c r="C4" s="28" t="s">
        <v>2033</v>
      </c>
      <c r="D4" s="19"/>
      <c r="E4" s="19"/>
    </row>
    <row r="5" spans="1:5" x14ac:dyDescent="0.35">
      <c r="A5" s="19"/>
      <c r="B5" s="27" t="s">
        <v>2036</v>
      </c>
      <c r="C5" s="28" t="s">
        <v>2037</v>
      </c>
      <c r="D5" s="19"/>
      <c r="E5" s="19"/>
    </row>
    <row r="6" spans="1:5" x14ac:dyDescent="0.35">
      <c r="A6" s="19"/>
      <c r="B6" s="27" t="s">
        <v>2038</v>
      </c>
      <c r="C6" s="28" t="s">
        <v>2039</v>
      </c>
      <c r="D6" s="19"/>
      <c r="E6" s="19"/>
    </row>
    <row r="7" spans="1:5" x14ac:dyDescent="0.35">
      <c r="A7" s="19"/>
      <c r="B7" s="27" t="s">
        <v>2040</v>
      </c>
      <c r="C7" s="28" t="s">
        <v>2033</v>
      </c>
      <c r="D7" s="19"/>
      <c r="E7" s="19"/>
    </row>
    <row r="8" spans="1:5" x14ac:dyDescent="0.35">
      <c r="A8" s="19"/>
      <c r="B8" s="27" t="s">
        <v>2041</v>
      </c>
      <c r="C8" s="28" t="s">
        <v>2033</v>
      </c>
      <c r="D8" s="19"/>
      <c r="E8" s="19"/>
    </row>
    <row r="9" spans="1:5" x14ac:dyDescent="0.35">
      <c r="A9" s="19"/>
      <c r="B9" s="27" t="s">
        <v>2042</v>
      </c>
      <c r="C9" s="28" t="s">
        <v>2033</v>
      </c>
      <c r="D9" s="19"/>
      <c r="E9" s="19"/>
    </row>
    <row r="10" spans="1:5" x14ac:dyDescent="0.35">
      <c r="A10" s="19"/>
      <c r="B10" s="27" t="s">
        <v>2043</v>
      </c>
      <c r="C10" s="28" t="s">
        <v>2033</v>
      </c>
      <c r="D10" s="19"/>
      <c r="E10" s="19"/>
    </row>
    <row r="11" spans="1:5" x14ac:dyDescent="0.35">
      <c r="A11" s="19"/>
      <c r="B11" s="27" t="s">
        <v>2044</v>
      </c>
      <c r="C11" s="28" t="s">
        <v>2037</v>
      </c>
      <c r="D11" s="19"/>
      <c r="E11" s="19"/>
    </row>
    <row r="12" spans="1:5" x14ac:dyDescent="0.35">
      <c r="A12" s="19"/>
      <c r="B12" s="27" t="s">
        <v>2045</v>
      </c>
      <c r="C12" s="28" t="s">
        <v>2033</v>
      </c>
      <c r="D12" s="19"/>
      <c r="E12" s="19"/>
    </row>
    <row r="13" spans="1:5" x14ac:dyDescent="0.35">
      <c r="A13" s="19"/>
      <c r="B13" s="27" t="s">
        <v>2046</v>
      </c>
      <c r="C13" s="28" t="s">
        <v>2039</v>
      </c>
      <c r="D13" s="19"/>
      <c r="E13" s="19"/>
    </row>
    <row r="14" spans="1:5" x14ac:dyDescent="0.35">
      <c r="A14" s="19"/>
      <c r="B14" s="27" t="s">
        <v>2047</v>
      </c>
      <c r="C14" s="28" t="s">
        <v>2037</v>
      </c>
      <c r="D14" s="19"/>
      <c r="E14" s="19"/>
    </row>
    <row r="15" spans="1:5" x14ac:dyDescent="0.35">
      <c r="A15" s="19"/>
      <c r="B15" s="27" t="s">
        <v>2048</v>
      </c>
      <c r="C15" s="28" t="s">
        <v>2037</v>
      </c>
      <c r="D15" s="19"/>
      <c r="E15" s="19"/>
    </row>
    <row r="16" spans="1:5" x14ac:dyDescent="0.35">
      <c r="A16" s="19"/>
      <c r="B16" s="27" t="s">
        <v>2049</v>
      </c>
      <c r="C16" s="28" t="s">
        <v>2039</v>
      </c>
      <c r="D16" s="19"/>
      <c r="E16" s="19"/>
    </row>
    <row r="17" spans="1:5" x14ac:dyDescent="0.35">
      <c r="A17" s="19"/>
      <c r="B17" s="27" t="s">
        <v>2044</v>
      </c>
      <c r="C17" s="28" t="s">
        <v>2037</v>
      </c>
      <c r="D17" s="19"/>
      <c r="E17" s="19"/>
    </row>
    <row r="18" spans="1:5" x14ac:dyDescent="0.35">
      <c r="A18" s="19"/>
      <c r="B18" s="27" t="s">
        <v>2045</v>
      </c>
      <c r="C18" s="28" t="s">
        <v>2033</v>
      </c>
      <c r="D18" s="19"/>
      <c r="E18" s="19"/>
    </row>
    <row r="19" spans="1:5" x14ac:dyDescent="0.35">
      <c r="A19" s="19"/>
      <c r="B19" s="27" t="s">
        <v>2046</v>
      </c>
      <c r="C19" s="28" t="s">
        <v>2050</v>
      </c>
      <c r="D19" s="19"/>
      <c r="E19" s="19"/>
    </row>
    <row r="20" spans="1:5" x14ac:dyDescent="0.35">
      <c r="A20" s="19"/>
      <c r="B20" s="27" t="s">
        <v>2047</v>
      </c>
      <c r="C20" s="28" t="s">
        <v>2037</v>
      </c>
      <c r="D20" s="19"/>
      <c r="E20" s="19"/>
    </row>
    <row r="21" spans="1:5" x14ac:dyDescent="0.35">
      <c r="A21" s="19"/>
      <c r="B21" s="27" t="s">
        <v>2051</v>
      </c>
      <c r="C21" s="28" t="s">
        <v>2039</v>
      </c>
      <c r="D21" s="19"/>
      <c r="E21" s="19"/>
    </row>
    <row r="22" spans="1:5" x14ac:dyDescent="0.35">
      <c r="A22" s="19"/>
      <c r="B22" s="27" t="s">
        <v>2052</v>
      </c>
      <c r="C22" s="28" t="s">
        <v>2037</v>
      </c>
      <c r="D22" s="19"/>
      <c r="E22" s="19"/>
    </row>
    <row r="23" spans="1:5" x14ac:dyDescent="0.35">
      <c r="A23" s="19"/>
      <c r="B23" s="27" t="s">
        <v>2053</v>
      </c>
      <c r="C23" s="28" t="s">
        <v>2054</v>
      </c>
      <c r="D23" s="19"/>
      <c r="E23" s="19"/>
    </row>
    <row r="24" spans="1:5" x14ac:dyDescent="0.35">
      <c r="A24" s="19"/>
      <c r="B24" s="27" t="s">
        <v>2055</v>
      </c>
      <c r="C24" s="28" t="s">
        <v>2054</v>
      </c>
      <c r="D24" s="19"/>
      <c r="E24" s="19"/>
    </row>
    <row r="25" spans="1:5" x14ac:dyDescent="0.35">
      <c r="A25" s="19"/>
      <c r="B25" s="27" t="s">
        <v>2056</v>
      </c>
      <c r="C25" s="28" t="s">
        <v>2037</v>
      </c>
      <c r="D25" s="19"/>
      <c r="E25" s="19"/>
    </row>
    <row r="26" spans="1:5" x14ac:dyDescent="0.35">
      <c r="A26" s="19"/>
      <c r="B26" s="27" t="s">
        <v>2038</v>
      </c>
      <c r="C26" s="28" t="s">
        <v>2039</v>
      </c>
      <c r="D26" s="19"/>
      <c r="E26" s="19"/>
    </row>
    <row r="27" spans="1:5" x14ac:dyDescent="0.35">
      <c r="A27" s="19"/>
      <c r="B27" s="27" t="s">
        <v>2057</v>
      </c>
      <c r="C27" s="28" t="s">
        <v>2033</v>
      </c>
      <c r="D27" s="19"/>
      <c r="E27" s="19"/>
    </row>
    <row r="28" spans="1:5" x14ac:dyDescent="0.35">
      <c r="A28" s="19"/>
      <c r="B28" s="27" t="s">
        <v>2058</v>
      </c>
      <c r="C28" s="28" t="s">
        <v>2033</v>
      </c>
      <c r="D28" s="19"/>
      <c r="E28" s="19"/>
    </row>
    <row r="29" spans="1:5" x14ac:dyDescent="0.35">
      <c r="A29" s="19"/>
      <c r="B29" s="27" t="s">
        <v>2059</v>
      </c>
      <c r="C29" s="28" t="s">
        <v>2033</v>
      </c>
      <c r="D29" s="19"/>
      <c r="E29" s="19"/>
    </row>
    <row r="30" spans="1:5" x14ac:dyDescent="0.35">
      <c r="A30" s="19"/>
      <c r="B30" s="19"/>
      <c r="C30" s="19"/>
      <c r="D30" s="19"/>
      <c r="E30" s="19"/>
    </row>
    <row r="31" spans="1:5" x14ac:dyDescent="0.35">
      <c r="A31" s="19"/>
      <c r="B31" s="19"/>
      <c r="C31" s="19"/>
      <c r="D31" s="19"/>
      <c r="E31" s="1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 xmlns="dcfacc41-8fd8-4727-ac2a-516fd2128c78" xsi:nil="true"/>
    <TaxCatchAll xmlns="1e305361-adec-4c54-a4a1-37309f00e9f5" xsi:nil="true"/>
    <lcf76f155ced4ddcb4097134ff3c332f xmlns="dcfacc41-8fd8-4727-ac2a-516fd2128c7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C7803E771A9B741B8069132743B1933" ma:contentTypeVersion="15" ma:contentTypeDescription="Create a new document." ma:contentTypeScope="" ma:versionID="b78c9221111de1cc9aee0971d0a78fa7">
  <xsd:schema xmlns:xsd="http://www.w3.org/2001/XMLSchema" xmlns:xs="http://www.w3.org/2001/XMLSchema" xmlns:p="http://schemas.microsoft.com/office/2006/metadata/properties" xmlns:ns2="dcfacc41-8fd8-4727-ac2a-516fd2128c78" xmlns:ns3="1e305361-adec-4c54-a4a1-37309f00e9f5" targetNamespace="http://schemas.microsoft.com/office/2006/metadata/properties" ma:root="true" ma:fieldsID="fe3063160dce29154826eac90399d356" ns2:_="" ns3:_="">
    <xsd:import namespace="dcfacc41-8fd8-4727-ac2a-516fd2128c78"/>
    <xsd:import namespace="1e305361-adec-4c54-a4a1-37309f00e9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facc41-8fd8-4727-ac2a-516fd2128c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ae516d8-05c2-40b0-86dc-703c07aa265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Date" ma:index="21" nillable="true" ma:displayName="Date" ma:format="DateTime"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e305361-adec-4c54-a4a1-37309f00e9f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0ea83c7-dee7-4d05-bbae-f2f2504ada1c}" ma:internalName="TaxCatchAll" ma:showField="CatchAllData" ma:web="1e305361-adec-4c54-a4a1-37309f00e9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D0A965-389D-436F-B9D2-40A93E41DA06}">
  <ds:schemaRefs>
    <ds:schemaRef ds:uri="http://schemas.microsoft.com/office/2006/metadata/properties"/>
    <ds:schemaRef ds:uri="http://schemas.microsoft.com/office/infopath/2007/PartnerControls"/>
    <ds:schemaRef ds:uri="dcfacc41-8fd8-4727-ac2a-516fd2128c78"/>
    <ds:schemaRef ds:uri="1e305361-adec-4c54-a4a1-37309f00e9f5"/>
  </ds:schemaRefs>
</ds:datastoreItem>
</file>

<file path=customXml/itemProps2.xml><?xml version="1.0" encoding="utf-8"?>
<ds:datastoreItem xmlns:ds="http://schemas.openxmlformats.org/officeDocument/2006/customXml" ds:itemID="{ABBEA6AF-9E35-459A-BDD8-F16C697AAD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facc41-8fd8-4727-ac2a-516fd2128c78"/>
    <ds:schemaRef ds:uri="1e305361-adec-4c54-a4a1-37309f00e9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1AB03C-9A69-44DE-A942-0ABF8EE8F5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01_CONTRACT_TRACKER</vt:lpstr>
      <vt:lpstr>02_VO TO CLIENT_</vt:lpstr>
      <vt:lpstr>02.01_VO TO SUBCON</vt:lpstr>
      <vt:lpstr>03_SCA TRACKER</vt:lpstr>
      <vt:lpstr>Milestone 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Mae Lagmay</dc:creator>
  <cp:keywords/>
  <dc:description/>
  <cp:lastModifiedBy>Amal Abdu</cp:lastModifiedBy>
  <cp:revision/>
  <dcterms:created xsi:type="dcterms:W3CDTF">2026-02-27T05:51:49Z</dcterms:created>
  <dcterms:modified xsi:type="dcterms:W3CDTF">2026-06-17T08:55:27Z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0x010100BC7803E771A9B741B8069132743B1933</vt:lpwstr>
  </property>
  <property fmtid="{D5CDD505-2E9C-101B-9397-08002B2CF9AE}" pid="3" name="MediaServiceImageTags">
    <vt:lpwstr/>
  </property>
</Properties>
</file>